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muel Salazar\Desktop\"/>
    </mc:Choice>
  </mc:AlternateContent>
  <xr:revisionPtr revIDLastSave="0" documentId="13_ncr:1_{B5EFF55C-BA11-4F13-9FE7-9BB2CA0A11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istema de Ecuaciones" sheetId="1" r:id="rId1"/>
    <sheet name="Eliminación de Gauss" sheetId="2" r:id="rId2"/>
    <sheet name="Eliminación de Gauss-Jordan" sheetId="3" r:id="rId3"/>
    <sheet name="Inversión de Matrices" sheetId="4" r:id="rId4"/>
    <sheet name="Regla de Cramer" sheetId="5" r:id="rId5"/>
    <sheet name="Método Montante" sheetId="6" r:id="rId6"/>
    <sheet name="Gauss-Jacobi" sheetId="7" r:id="rId7"/>
    <sheet name="Gauss-Seide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6" i="6" l="1"/>
  <c r="J55" i="6"/>
  <c r="J54" i="6"/>
  <c r="J53" i="6"/>
  <c r="J52" i="6"/>
  <c r="J51" i="6"/>
  <c r="G7" i="1"/>
  <c r="G7" i="4" s="1"/>
  <c r="G6" i="1"/>
  <c r="D37" i="5" s="1"/>
  <c r="G3" i="1"/>
  <c r="A2" i="7" a="1"/>
  <c r="C2" i="7" s="1"/>
  <c r="F11" i="8"/>
  <c r="G11" i="8"/>
  <c r="D11" i="8"/>
  <c r="C11" i="8"/>
  <c r="J3" i="8"/>
  <c r="K3" i="7"/>
  <c r="G8" i="8"/>
  <c r="F8" i="8"/>
  <c r="E8" i="8"/>
  <c r="D8" i="8"/>
  <c r="C8" i="8"/>
  <c r="B8" i="8"/>
  <c r="A8" i="8"/>
  <c r="G7" i="8"/>
  <c r="F7" i="8"/>
  <c r="E7" i="8"/>
  <c r="D7" i="8"/>
  <c r="C7" i="8"/>
  <c r="B7" i="8"/>
  <c r="A7" i="8"/>
  <c r="G6" i="8"/>
  <c r="E11" i="8" s="1"/>
  <c r="F6" i="8"/>
  <c r="E6" i="8"/>
  <c r="D6" i="8"/>
  <c r="C6" i="8"/>
  <c r="B6" i="8"/>
  <c r="A6" i="8"/>
  <c r="G5" i="8"/>
  <c r="F5" i="8"/>
  <c r="E5" i="8"/>
  <c r="D5" i="8"/>
  <c r="C5" i="8"/>
  <c r="B5" i="8"/>
  <c r="A5" i="8"/>
  <c r="G4" i="8"/>
  <c r="F4" i="8"/>
  <c r="E4" i="8"/>
  <c r="D4" i="8"/>
  <c r="C4" i="8"/>
  <c r="B4" i="8"/>
  <c r="A4" i="8"/>
  <c r="G3" i="8"/>
  <c r="B11" i="8" s="1"/>
  <c r="F3" i="8"/>
  <c r="E3" i="8"/>
  <c r="D3" i="8"/>
  <c r="C3" i="8"/>
  <c r="B3" i="8"/>
  <c r="A3" i="8"/>
  <c r="E56" i="6"/>
  <c r="E54" i="6"/>
  <c r="E53" i="6"/>
  <c r="E52" i="6"/>
  <c r="E51" i="6"/>
  <c r="C48" i="6"/>
  <c r="C56" i="6" s="1"/>
  <c r="D47" i="6"/>
  <c r="D55" i="6" s="1"/>
  <c r="C40" i="6"/>
  <c r="C39" i="6"/>
  <c r="C47" i="6" s="1"/>
  <c r="C55" i="6" s="1"/>
  <c r="B39" i="6"/>
  <c r="B47" i="6" s="1"/>
  <c r="B55" i="6" s="1"/>
  <c r="C38" i="6"/>
  <c r="C46" i="6" s="1"/>
  <c r="C54" i="6" s="1"/>
  <c r="B37" i="6"/>
  <c r="B45" i="6" s="1"/>
  <c r="B53" i="6" s="1"/>
  <c r="C36" i="6"/>
  <c r="C44" i="6" s="1"/>
  <c r="C52" i="6" s="1"/>
  <c r="A36" i="6"/>
  <c r="A44" i="6" s="1"/>
  <c r="A52" i="6" s="1"/>
  <c r="C35" i="6"/>
  <c r="C43" i="6" s="1"/>
  <c r="C51" i="6" s="1"/>
  <c r="B32" i="6"/>
  <c r="B40" i="6" s="1"/>
  <c r="B48" i="6" s="1"/>
  <c r="B56" i="6" s="1"/>
  <c r="B31" i="6"/>
  <c r="B30" i="6"/>
  <c r="B38" i="6" s="1"/>
  <c r="B46" i="6" s="1"/>
  <c r="B54" i="6" s="1"/>
  <c r="B29" i="6"/>
  <c r="B27" i="6"/>
  <c r="B35" i="6" s="1"/>
  <c r="B43" i="6" s="1"/>
  <c r="B51" i="6" s="1"/>
  <c r="A24" i="6"/>
  <c r="A32" i="6" s="1"/>
  <c r="A40" i="6" s="1"/>
  <c r="A48" i="6" s="1"/>
  <c r="A56" i="6" s="1"/>
  <c r="A23" i="6"/>
  <c r="A31" i="6" s="1"/>
  <c r="A39" i="6" s="1"/>
  <c r="A47" i="6" s="1"/>
  <c r="A55" i="6" s="1"/>
  <c r="A22" i="6"/>
  <c r="A30" i="6" s="1"/>
  <c r="A38" i="6" s="1"/>
  <c r="A46" i="6" s="1"/>
  <c r="A54" i="6" s="1"/>
  <c r="A21" i="6"/>
  <c r="A29" i="6" s="1"/>
  <c r="A37" i="6" s="1"/>
  <c r="A45" i="6" s="1"/>
  <c r="A53" i="6" s="1"/>
  <c r="A20" i="6"/>
  <c r="A28" i="6" s="1"/>
  <c r="G8" i="6"/>
  <c r="F8" i="6"/>
  <c r="E8" i="6"/>
  <c r="D8" i="6"/>
  <c r="C8" i="6"/>
  <c r="B8" i="6"/>
  <c r="A8" i="6"/>
  <c r="G7" i="6"/>
  <c r="F7" i="6"/>
  <c r="E7" i="6"/>
  <c r="D7" i="6"/>
  <c r="C7" i="6"/>
  <c r="B7" i="6"/>
  <c r="A7" i="6"/>
  <c r="G6" i="6"/>
  <c r="F6" i="6"/>
  <c r="E6" i="6"/>
  <c r="D6" i="6"/>
  <c r="C6" i="6"/>
  <c r="B6" i="6"/>
  <c r="A6" i="6"/>
  <c r="G5" i="6"/>
  <c r="F5" i="6"/>
  <c r="E5" i="6"/>
  <c r="D5" i="6"/>
  <c r="C5" i="6"/>
  <c r="B5" i="6"/>
  <c r="A5" i="6"/>
  <c r="G4" i="6"/>
  <c r="F4" i="6"/>
  <c r="E4" i="6"/>
  <c r="D4" i="6"/>
  <c r="C4" i="6"/>
  <c r="B4" i="6"/>
  <c r="A4" i="6"/>
  <c r="G3" i="6"/>
  <c r="G11" i="6" s="1"/>
  <c r="F3" i="6"/>
  <c r="F11" i="6" s="1"/>
  <c r="E3" i="6"/>
  <c r="E11" i="6" s="1"/>
  <c r="D3" i="6"/>
  <c r="D11" i="6" s="1"/>
  <c r="C3" i="6"/>
  <c r="C11" i="6" s="1"/>
  <c r="B3" i="6"/>
  <c r="B11" i="6" s="1"/>
  <c r="A3" i="6"/>
  <c r="F16" i="6" s="1"/>
  <c r="F50" i="5" a="1"/>
  <c r="F55" i="5" s="1"/>
  <c r="E45" i="5"/>
  <c r="E43" i="5"/>
  <c r="E42" i="5" a="1"/>
  <c r="E46" i="5" s="1"/>
  <c r="E42" i="5"/>
  <c r="D39" i="5"/>
  <c r="D35" i="5"/>
  <c r="D34" i="5" a="1"/>
  <c r="D38" i="5" s="1"/>
  <c r="D34" i="5"/>
  <c r="C31" i="5"/>
  <c r="C26" i="5" a="1"/>
  <c r="C30" i="5" s="1"/>
  <c r="C26" i="5"/>
  <c r="B23" i="5"/>
  <c r="B18" i="5" a="1"/>
  <c r="B22" i="5" s="1"/>
  <c r="A10" i="5" a="1"/>
  <c r="A14" i="5" s="1"/>
  <c r="C5" i="5"/>
  <c r="A2" i="5" a="1"/>
  <c r="E6" i="5" s="1"/>
  <c r="G8" i="4"/>
  <c r="F8" i="4"/>
  <c r="E8" i="4"/>
  <c r="D8" i="4"/>
  <c r="C8" i="4"/>
  <c r="B8" i="4"/>
  <c r="A8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A2" i="3" a="1"/>
  <c r="G8" i="2"/>
  <c r="F8" i="2"/>
  <c r="E8" i="2"/>
  <c r="D8" i="2"/>
  <c r="C8" i="2"/>
  <c r="B8" i="2"/>
  <c r="A8" i="2"/>
  <c r="G7" i="2"/>
  <c r="G15" i="2" s="1"/>
  <c r="F7" i="2"/>
  <c r="E7" i="2"/>
  <c r="D7" i="2"/>
  <c r="C7" i="2"/>
  <c r="B7" i="2"/>
  <c r="A7" i="2"/>
  <c r="C15" i="2" s="1"/>
  <c r="G6" i="2"/>
  <c r="F6" i="2"/>
  <c r="E6" i="2"/>
  <c r="D6" i="2"/>
  <c r="C6" i="2"/>
  <c r="B6" i="2"/>
  <c r="A6" i="2"/>
  <c r="G5" i="2"/>
  <c r="F5" i="2"/>
  <c r="E5" i="2"/>
  <c r="D5" i="2"/>
  <c r="C5" i="2"/>
  <c r="B5" i="2"/>
  <c r="A5" i="2"/>
  <c r="G13" i="2" s="1"/>
  <c r="G4" i="2"/>
  <c r="F4" i="2"/>
  <c r="E4" i="2"/>
  <c r="D4" i="2"/>
  <c r="C4" i="2"/>
  <c r="B4" i="2"/>
  <c r="A4" i="2"/>
  <c r="G3" i="2"/>
  <c r="F3" i="2"/>
  <c r="E3" i="2"/>
  <c r="D3" i="2"/>
  <c r="D11" i="2" s="1"/>
  <c r="D19" i="2" s="1"/>
  <c r="D27" i="2" s="1"/>
  <c r="L11" i="2" s="1"/>
  <c r="L19" i="2" s="1"/>
  <c r="L27" i="2" s="1"/>
  <c r="E36" i="2" s="1"/>
  <c r="C3" i="2"/>
  <c r="B3" i="2"/>
  <c r="A3" i="2"/>
  <c r="B12" i="8" l="1"/>
  <c r="A11" i="4" a="1"/>
  <c r="D15" i="4" s="1"/>
  <c r="D7" i="7"/>
  <c r="C6" i="7"/>
  <c r="B5" i="7"/>
  <c r="A4" i="7"/>
  <c r="G2" i="7"/>
  <c r="G7" i="7"/>
  <c r="F6" i="7"/>
  <c r="E5" i="7"/>
  <c r="D4" i="7"/>
  <c r="C3" i="7"/>
  <c r="B2" i="7"/>
  <c r="F7" i="7"/>
  <c r="E6" i="7"/>
  <c r="D5" i="7"/>
  <c r="C4" i="7"/>
  <c r="B3" i="7"/>
  <c r="A2" i="7"/>
  <c r="E7" i="7"/>
  <c r="D6" i="7"/>
  <c r="C5" i="7"/>
  <c r="B4" i="7"/>
  <c r="A3" i="7"/>
  <c r="C7" i="7"/>
  <c r="B6" i="7"/>
  <c r="A5" i="7"/>
  <c r="G3" i="7"/>
  <c r="F2" i="7"/>
  <c r="B7" i="7"/>
  <c r="A6" i="7"/>
  <c r="G4" i="7"/>
  <c r="F3" i="7"/>
  <c r="E2" i="7"/>
  <c r="A7" i="7"/>
  <c r="G5" i="7"/>
  <c r="F4" i="7"/>
  <c r="E3" i="7"/>
  <c r="D2" i="7"/>
  <c r="G6" i="7"/>
  <c r="F5" i="7"/>
  <c r="E4" i="7"/>
  <c r="D3" i="7"/>
  <c r="A11" i="5"/>
  <c r="A13" i="5"/>
  <c r="G11" i="2"/>
  <c r="G19" i="2" s="1"/>
  <c r="G27" i="2" s="1"/>
  <c r="O11" i="2" s="1"/>
  <c r="O19" i="2" s="1"/>
  <c r="O27" i="2" s="1"/>
  <c r="H36" i="2" s="1"/>
  <c r="B11" i="2"/>
  <c r="B19" i="2" s="1"/>
  <c r="B27" i="2" s="1"/>
  <c r="J11" i="2" s="1"/>
  <c r="J19" i="2" s="1"/>
  <c r="J27" i="2" s="1"/>
  <c r="C36" i="2" s="1"/>
  <c r="D13" i="2"/>
  <c r="E2" i="5"/>
  <c r="E26" i="5" s="1"/>
  <c r="A15" i="5"/>
  <c r="C27" i="5"/>
  <c r="A4" i="5"/>
  <c r="A44" i="5" s="1"/>
  <c r="B18" i="5"/>
  <c r="C29" i="5"/>
  <c r="B13" i="2"/>
  <c r="F13" i="2"/>
  <c r="B19" i="5"/>
  <c r="F11" i="2"/>
  <c r="F19" i="2" s="1"/>
  <c r="F27" i="2" s="1"/>
  <c r="N11" i="2" s="1"/>
  <c r="N19" i="2" s="1"/>
  <c r="N27" i="2" s="1"/>
  <c r="G36" i="2" s="1"/>
  <c r="A10" i="5"/>
  <c r="B21" i="5"/>
  <c r="E47" i="5"/>
  <c r="F14" i="2"/>
  <c r="D14" i="2"/>
  <c r="B14" i="2"/>
  <c r="F16" i="2"/>
  <c r="D16" i="2"/>
  <c r="B16" i="2"/>
  <c r="D12" i="2"/>
  <c r="F12" i="2"/>
  <c r="A14" i="2"/>
  <c r="A22" i="2" s="1"/>
  <c r="A30" i="2" s="1"/>
  <c r="I14" i="2" s="1"/>
  <c r="I22" i="2" s="1"/>
  <c r="I30" i="2" s="1"/>
  <c r="E14" i="2"/>
  <c r="A16" i="2"/>
  <c r="A24" i="2" s="1"/>
  <c r="A32" i="2" s="1"/>
  <c r="I16" i="2" s="1"/>
  <c r="I24" i="2" s="1"/>
  <c r="I32" i="2" s="1"/>
  <c r="E16" i="2"/>
  <c r="G7" i="3"/>
  <c r="E7" i="3"/>
  <c r="C7" i="3"/>
  <c r="A7" i="3"/>
  <c r="F6" i="3"/>
  <c r="D6" i="3"/>
  <c r="B6" i="3"/>
  <c r="G5" i="3"/>
  <c r="E5" i="3"/>
  <c r="C5" i="3"/>
  <c r="A5" i="3"/>
  <c r="F4" i="3"/>
  <c r="D4" i="3"/>
  <c r="B4" i="3"/>
  <c r="G3" i="3"/>
  <c r="E3" i="3"/>
  <c r="C3" i="3"/>
  <c r="A3" i="3"/>
  <c r="F2" i="3"/>
  <c r="D2" i="3"/>
  <c r="B2" i="3"/>
  <c r="A2" i="3"/>
  <c r="E2" i="3"/>
  <c r="B3" i="3"/>
  <c r="F3" i="3"/>
  <c r="C4" i="3"/>
  <c r="G4" i="3"/>
  <c r="D5" i="3"/>
  <c r="A6" i="3"/>
  <c r="E6" i="3"/>
  <c r="B7" i="3"/>
  <c r="F7" i="3"/>
  <c r="E54" i="5"/>
  <c r="E22" i="5"/>
  <c r="E30" i="5"/>
  <c r="E14" i="5"/>
  <c r="E38" i="5" s="1"/>
  <c r="F15" i="2"/>
  <c r="D15" i="2"/>
  <c r="B15" i="2"/>
  <c r="A11" i="2"/>
  <c r="A19" i="2" s="1"/>
  <c r="A27" i="2" s="1"/>
  <c r="I11" i="2" s="1"/>
  <c r="I19" i="2" s="1"/>
  <c r="I27" i="2" s="1"/>
  <c r="B36" i="2" s="1"/>
  <c r="C11" i="2"/>
  <c r="C19" i="2" s="1"/>
  <c r="C27" i="2" s="1"/>
  <c r="K11" i="2" s="1"/>
  <c r="K19" i="2" s="1"/>
  <c r="K27" i="2" s="1"/>
  <c r="D36" i="2" s="1"/>
  <c r="E11" i="2"/>
  <c r="E19" i="2" s="1"/>
  <c r="E27" i="2" s="1"/>
  <c r="M11" i="2" s="1"/>
  <c r="M19" i="2" s="1"/>
  <c r="M27" i="2" s="1"/>
  <c r="F36" i="2" s="1"/>
  <c r="A13" i="2"/>
  <c r="A21" i="2" s="1"/>
  <c r="A29" i="2" s="1"/>
  <c r="I13" i="2" s="1"/>
  <c r="I21" i="2" s="1"/>
  <c r="I29" i="2" s="1"/>
  <c r="C13" i="2"/>
  <c r="E13" i="2"/>
  <c r="C14" i="2"/>
  <c r="G14" i="2"/>
  <c r="A15" i="2"/>
  <c r="A23" i="2" s="1"/>
  <c r="A31" i="2" s="1"/>
  <c r="I15" i="2" s="1"/>
  <c r="I23" i="2" s="1"/>
  <c r="I31" i="2" s="1"/>
  <c r="E15" i="2"/>
  <c r="C16" i="2"/>
  <c r="G16" i="2"/>
  <c r="C2" i="3"/>
  <c r="G2" i="3"/>
  <c r="D3" i="3"/>
  <c r="A4" i="3"/>
  <c r="E4" i="3"/>
  <c r="B5" i="3"/>
  <c r="F5" i="3"/>
  <c r="C6" i="3"/>
  <c r="G6" i="3"/>
  <c r="D7" i="3"/>
  <c r="C53" i="5"/>
  <c r="C13" i="5"/>
  <c r="C37" i="5" s="1"/>
  <c r="C45" i="5"/>
  <c r="C21" i="5"/>
  <c r="F7" i="5"/>
  <c r="D7" i="5"/>
  <c r="B7" i="5"/>
  <c r="F6" i="5"/>
  <c r="D6" i="5"/>
  <c r="B6" i="5"/>
  <c r="F5" i="5"/>
  <c r="D5" i="5"/>
  <c r="B5" i="5"/>
  <c r="F4" i="5"/>
  <c r="D4" i="5"/>
  <c r="B4" i="5"/>
  <c r="F3" i="5"/>
  <c r="D3" i="5"/>
  <c r="B3" i="5"/>
  <c r="F2" i="5"/>
  <c r="D2" i="5"/>
  <c r="B2" i="5"/>
  <c r="A2" i="5"/>
  <c r="E7" i="5"/>
  <c r="A7" i="5"/>
  <c r="C6" i="5"/>
  <c r="E5" i="5"/>
  <c r="A5" i="5"/>
  <c r="C4" i="5"/>
  <c r="E3" i="5"/>
  <c r="A3" i="5"/>
  <c r="C2" i="5"/>
  <c r="C3" i="5"/>
  <c r="E4" i="5"/>
  <c r="A6" i="5"/>
  <c r="C7" i="5"/>
  <c r="A12" i="5"/>
  <c r="B20" i="5"/>
  <c r="C28" i="5"/>
  <c r="D36" i="5"/>
  <c r="E44" i="5"/>
  <c r="F52" i="5"/>
  <c r="F54" i="5"/>
  <c r="I11" i="6"/>
  <c r="C12" i="6"/>
  <c r="C20" i="6" s="1"/>
  <c r="E12" i="6"/>
  <c r="E20" i="6" s="1"/>
  <c r="G12" i="6"/>
  <c r="G20" i="6" s="1"/>
  <c r="C13" i="6"/>
  <c r="E13" i="6"/>
  <c r="G13" i="6"/>
  <c r="C14" i="6"/>
  <c r="E14" i="6"/>
  <c r="G14" i="6"/>
  <c r="C15" i="6"/>
  <c r="E15" i="6"/>
  <c r="G15" i="6"/>
  <c r="C16" i="6"/>
  <c r="E16" i="6"/>
  <c r="G16" i="6"/>
  <c r="F50" i="5"/>
  <c r="F51" i="5"/>
  <c r="F53" i="5"/>
  <c r="B12" i="6"/>
  <c r="D12" i="6"/>
  <c r="D20" i="6" s="1"/>
  <c r="F12" i="6"/>
  <c r="F20" i="6" s="1"/>
  <c r="B13" i="6"/>
  <c r="D13" i="6"/>
  <c r="F13" i="6"/>
  <c r="B14" i="6"/>
  <c r="D14" i="6"/>
  <c r="F14" i="6"/>
  <c r="B15" i="6"/>
  <c r="D15" i="6"/>
  <c r="F15" i="6"/>
  <c r="B16" i="6"/>
  <c r="D16" i="6"/>
  <c r="G11" i="7" l="1"/>
  <c r="C12" i="8"/>
  <c r="D12" i="8" s="1"/>
  <c r="G12" i="2"/>
  <c r="A52" i="5"/>
  <c r="C12" i="4"/>
  <c r="E13" i="4"/>
  <c r="E16" i="4"/>
  <c r="B14" i="4"/>
  <c r="E11" i="4"/>
  <c r="A11" i="4"/>
  <c r="D14" i="4"/>
  <c r="C13" i="4"/>
  <c r="D13" i="4"/>
  <c r="C16" i="4"/>
  <c r="F13" i="4"/>
  <c r="A13" i="4"/>
  <c r="B11" i="4"/>
  <c r="C11" i="4"/>
  <c r="B16" i="4"/>
  <c r="D16" i="4"/>
  <c r="A15" i="4"/>
  <c r="A14" i="4"/>
  <c r="F15" i="4"/>
  <c r="D11" i="4"/>
  <c r="A12" i="4"/>
  <c r="F11" i="4"/>
  <c r="E12" i="4"/>
  <c r="B13" i="4"/>
  <c r="F16" i="4"/>
  <c r="C14" i="4"/>
  <c r="C15" i="4"/>
  <c r="D12" i="4"/>
  <c r="B15" i="4"/>
  <c r="E14" i="4"/>
  <c r="B12" i="4"/>
  <c r="F14" i="4"/>
  <c r="E15" i="4"/>
  <c r="A16" i="4"/>
  <c r="F12" i="4"/>
  <c r="E10" i="5"/>
  <c r="E34" i="5" s="1"/>
  <c r="E18" i="5"/>
  <c r="A20" i="5"/>
  <c r="A36" i="5"/>
  <c r="A28" i="5"/>
  <c r="E50" i="5"/>
  <c r="C12" i="2"/>
  <c r="B12" i="2"/>
  <c r="G24" i="6"/>
  <c r="E24" i="6"/>
  <c r="C24" i="6"/>
  <c r="F24" i="6"/>
  <c r="F23" i="6"/>
  <c r="D23" i="6"/>
  <c r="F22" i="6"/>
  <c r="D22" i="6"/>
  <c r="F21" i="6"/>
  <c r="F29" i="6" s="1"/>
  <c r="D21" i="6"/>
  <c r="D29" i="6" s="1"/>
  <c r="D37" i="6" s="1"/>
  <c r="D45" i="6" s="1"/>
  <c r="D53" i="6" s="1"/>
  <c r="F19" i="6"/>
  <c r="D19" i="6"/>
  <c r="A11" i="6"/>
  <c r="D24" i="6"/>
  <c r="G23" i="6"/>
  <c r="E23" i="6"/>
  <c r="C23" i="6"/>
  <c r="G22" i="6"/>
  <c r="E22" i="6"/>
  <c r="C22" i="6"/>
  <c r="G21" i="6"/>
  <c r="G29" i="6" s="1"/>
  <c r="E21" i="6"/>
  <c r="E29" i="6" s="1"/>
  <c r="C21" i="6"/>
  <c r="G19" i="6"/>
  <c r="E19" i="6"/>
  <c r="C19" i="6"/>
  <c r="A54" i="5"/>
  <c r="A46" i="5"/>
  <c r="A30" i="5"/>
  <c r="A22" i="5"/>
  <c r="A38" i="5"/>
  <c r="C51" i="5"/>
  <c r="C11" i="5"/>
  <c r="C35" i="5" s="1"/>
  <c r="C43" i="5"/>
  <c r="C19" i="5"/>
  <c r="A51" i="5"/>
  <c r="A35" i="5"/>
  <c r="A19" i="5"/>
  <c r="A43" i="5"/>
  <c r="A27" i="5"/>
  <c r="C52" i="5"/>
  <c r="C44" i="5"/>
  <c r="C20" i="5"/>
  <c r="C12" i="5"/>
  <c r="C36" i="5" s="1"/>
  <c r="E53" i="5"/>
  <c r="E29" i="5"/>
  <c r="E13" i="5"/>
  <c r="E37" i="5" s="1"/>
  <c r="E21" i="5"/>
  <c r="A55" i="5"/>
  <c r="A39" i="5"/>
  <c r="A23" i="5"/>
  <c r="A47" i="5"/>
  <c r="A31" i="5"/>
  <c r="A50" i="5"/>
  <c r="A34" i="5"/>
  <c r="A18" i="5"/>
  <c r="H2" i="5" a="1"/>
  <c r="H2" i="5" s="1"/>
  <c r="A42" i="5"/>
  <c r="A26" i="5"/>
  <c r="D42" i="5"/>
  <c r="D26" i="5"/>
  <c r="D10" i="5"/>
  <c r="D50" i="5"/>
  <c r="D18" i="5"/>
  <c r="B51" i="5"/>
  <c r="B43" i="5"/>
  <c r="B27" i="5"/>
  <c r="B11" i="5"/>
  <c r="B35" i="5" s="1"/>
  <c r="F19" i="5"/>
  <c r="F43" i="5" s="1"/>
  <c r="F11" i="5"/>
  <c r="F35" i="5" s="1"/>
  <c r="F27" i="5"/>
  <c r="D52" i="5"/>
  <c r="D28" i="5"/>
  <c r="D12" i="5"/>
  <c r="D44" i="5"/>
  <c r="D20" i="5"/>
  <c r="B53" i="5"/>
  <c r="B45" i="5"/>
  <c r="B29" i="5"/>
  <c r="B13" i="5"/>
  <c r="B37" i="5" s="1"/>
  <c r="F21" i="5"/>
  <c r="F45" i="5" s="1"/>
  <c r="F29" i="5"/>
  <c r="F13" i="5"/>
  <c r="F37" i="5" s="1"/>
  <c r="D54" i="5"/>
  <c r="D30" i="5"/>
  <c r="D14" i="5"/>
  <c r="D46" i="5"/>
  <c r="D22" i="5"/>
  <c r="B55" i="5"/>
  <c r="B47" i="5"/>
  <c r="B31" i="5"/>
  <c r="B15" i="5"/>
  <c r="B39" i="5" s="1"/>
  <c r="F23" i="5"/>
  <c r="F47" i="5" s="1"/>
  <c r="F15" i="5"/>
  <c r="F39" i="5" s="1"/>
  <c r="F31" i="5"/>
  <c r="E12" i="2"/>
  <c r="A12" i="2"/>
  <c r="A20" i="2" s="1"/>
  <c r="A28" i="2" s="1"/>
  <c r="I12" i="2" s="1"/>
  <c r="I20" i="2" s="1"/>
  <c r="I28" i="2" s="1"/>
  <c r="B23" i="2"/>
  <c r="B31" i="2" s="1"/>
  <c r="J15" i="2" s="1"/>
  <c r="J23" i="2" s="1"/>
  <c r="J31" i="2" s="1"/>
  <c r="F10" i="3"/>
  <c r="F18" i="3" s="1"/>
  <c r="F26" i="3" s="1"/>
  <c r="F34" i="3" s="1"/>
  <c r="F42" i="3" s="1"/>
  <c r="F50" i="3" s="1"/>
  <c r="F58" i="3" s="1"/>
  <c r="D10" i="3"/>
  <c r="D18" i="3" s="1"/>
  <c r="D26" i="3" s="1"/>
  <c r="D34" i="3" s="1"/>
  <c r="D42" i="3" s="1"/>
  <c r="D50" i="3" s="1"/>
  <c r="D58" i="3" s="1"/>
  <c r="L2" i="3" s="1"/>
  <c r="L10" i="3" s="1"/>
  <c r="B10" i="3"/>
  <c r="B18" i="3" s="1"/>
  <c r="B26" i="3" s="1"/>
  <c r="B34" i="3" s="1"/>
  <c r="B42" i="3" s="1"/>
  <c r="B50" i="3" s="1"/>
  <c r="B58" i="3" s="1"/>
  <c r="J2" i="3" s="1"/>
  <c r="J10" i="3" s="1"/>
  <c r="J18" i="3" s="1"/>
  <c r="J26" i="3" s="1"/>
  <c r="E10" i="3"/>
  <c r="E18" i="3" s="1"/>
  <c r="E26" i="3" s="1"/>
  <c r="E34" i="3" s="1"/>
  <c r="E42" i="3" s="1"/>
  <c r="E50" i="3" s="1"/>
  <c r="E58" i="3" s="1"/>
  <c r="A10" i="3"/>
  <c r="A18" i="3" s="1"/>
  <c r="A26" i="3" s="1"/>
  <c r="A34" i="3" s="1"/>
  <c r="A42" i="3" s="1"/>
  <c r="A50" i="3" s="1"/>
  <c r="A58" i="3" s="1"/>
  <c r="I2" i="3" s="1"/>
  <c r="I10" i="3" s="1"/>
  <c r="I18" i="3" s="1"/>
  <c r="I26" i="3" s="1"/>
  <c r="I34" i="3" s="1"/>
  <c r="G10" i="3"/>
  <c r="G18" i="3" s="1"/>
  <c r="G26" i="3" s="1"/>
  <c r="G34" i="3" s="1"/>
  <c r="G42" i="3" s="1"/>
  <c r="G50" i="3" s="1"/>
  <c r="G58" i="3" s="1"/>
  <c r="C10" i="3"/>
  <c r="C18" i="3" s="1"/>
  <c r="C26" i="3" s="1"/>
  <c r="C34" i="3" s="1"/>
  <c r="C42" i="3" s="1"/>
  <c r="C50" i="3" s="1"/>
  <c r="C58" i="3" s="1"/>
  <c r="K2" i="3" s="1"/>
  <c r="K10" i="3" s="1"/>
  <c r="K18" i="3" s="1"/>
  <c r="F15" i="3"/>
  <c r="D15" i="3"/>
  <c r="B15" i="3"/>
  <c r="G15" i="3"/>
  <c r="C15" i="3"/>
  <c r="E15" i="3"/>
  <c r="A15" i="3"/>
  <c r="A23" i="3" s="1"/>
  <c r="A31" i="3" s="1"/>
  <c r="A39" i="3" s="1"/>
  <c r="A47" i="3" s="1"/>
  <c r="A55" i="3" s="1"/>
  <c r="A63" i="3" s="1"/>
  <c r="I7" i="3" s="1"/>
  <c r="I15" i="3" s="1"/>
  <c r="I23" i="3" s="1"/>
  <c r="I31" i="3" s="1"/>
  <c r="I39" i="3" s="1"/>
  <c r="F20" i="2"/>
  <c r="F23" i="2" s="1"/>
  <c r="D20" i="2"/>
  <c r="B20" i="2"/>
  <c r="G20" i="2"/>
  <c r="C20" i="2"/>
  <c r="E20" i="2"/>
  <c r="F22" i="2"/>
  <c r="D22" i="2"/>
  <c r="B22" i="2"/>
  <c r="B30" i="2" s="1"/>
  <c r="J14" i="2" s="1"/>
  <c r="J22" i="2" s="1"/>
  <c r="J30" i="2" s="1"/>
  <c r="G22" i="2"/>
  <c r="C22" i="2"/>
  <c r="E22" i="2"/>
  <c r="C55" i="5"/>
  <c r="C15" i="5"/>
  <c r="C39" i="5" s="1"/>
  <c r="C47" i="5"/>
  <c r="C23" i="5"/>
  <c r="E52" i="5"/>
  <c r="E20" i="5"/>
  <c r="E12" i="5"/>
  <c r="E36" i="5" s="1"/>
  <c r="E28" i="5"/>
  <c r="C50" i="5"/>
  <c r="C18" i="5"/>
  <c r="C42" i="5"/>
  <c r="C10" i="5"/>
  <c r="C34" i="5" s="1"/>
  <c r="E51" i="5"/>
  <c r="E27" i="5"/>
  <c r="E11" i="5"/>
  <c r="E35" i="5" s="1"/>
  <c r="E19" i="5"/>
  <c r="A53" i="5"/>
  <c r="A37" i="5"/>
  <c r="A21" i="5"/>
  <c r="A29" i="5"/>
  <c r="A45" i="5"/>
  <c r="C54" i="5"/>
  <c r="C46" i="5"/>
  <c r="C22" i="5"/>
  <c r="C14" i="5"/>
  <c r="C38" i="5" s="1"/>
  <c r="E55" i="5"/>
  <c r="E31" i="5"/>
  <c r="E15" i="5"/>
  <c r="E39" i="5" s="1"/>
  <c r="E23" i="5"/>
  <c r="B42" i="5"/>
  <c r="B26" i="5"/>
  <c r="B10" i="5"/>
  <c r="B50" i="5"/>
  <c r="F26" i="5"/>
  <c r="F10" i="5"/>
  <c r="F34" i="5" s="1"/>
  <c r="F18" i="5"/>
  <c r="F42" i="5" s="1"/>
  <c r="D51" i="5"/>
  <c r="D43" i="5"/>
  <c r="D19" i="5"/>
  <c r="D27" i="5"/>
  <c r="D11" i="5"/>
  <c r="B52" i="5"/>
  <c r="B12" i="5"/>
  <c r="B36" i="5" s="1"/>
  <c r="B28" i="5"/>
  <c r="B44" i="5"/>
  <c r="F28" i="5"/>
  <c r="F12" i="5"/>
  <c r="F36" i="5" s="1"/>
  <c r="F20" i="5"/>
  <c r="F44" i="5" s="1"/>
  <c r="D53" i="5"/>
  <c r="D45" i="5"/>
  <c r="D21" i="5"/>
  <c r="D13" i="5"/>
  <c r="D29" i="5"/>
  <c r="B54" i="5"/>
  <c r="B14" i="5"/>
  <c r="B38" i="5" s="1"/>
  <c r="B46" i="5"/>
  <c r="B30" i="5"/>
  <c r="F30" i="5"/>
  <c r="F14" i="5"/>
  <c r="F38" i="5" s="1"/>
  <c r="F22" i="5"/>
  <c r="F46" i="5" s="1"/>
  <c r="D55" i="5"/>
  <c r="D47" i="5"/>
  <c r="D23" i="5"/>
  <c r="D31" i="5"/>
  <c r="D15" i="5"/>
  <c r="F12" i="3"/>
  <c r="D12" i="3"/>
  <c r="B12" i="3"/>
  <c r="E12" i="3"/>
  <c r="A12" i="3"/>
  <c r="A20" i="3" s="1"/>
  <c r="A28" i="3" s="1"/>
  <c r="A36" i="3" s="1"/>
  <c r="A44" i="3" s="1"/>
  <c r="A52" i="3" s="1"/>
  <c r="A60" i="3" s="1"/>
  <c r="I4" i="3" s="1"/>
  <c r="I12" i="3" s="1"/>
  <c r="I20" i="3" s="1"/>
  <c r="I28" i="3" s="1"/>
  <c r="I36" i="3" s="1"/>
  <c r="G12" i="3"/>
  <c r="C12" i="3"/>
  <c r="F14" i="3"/>
  <c r="D14" i="3"/>
  <c r="B14" i="3"/>
  <c r="E14" i="3"/>
  <c r="A14" i="3"/>
  <c r="A22" i="3" s="1"/>
  <c r="A30" i="3" s="1"/>
  <c r="A38" i="3" s="1"/>
  <c r="A46" i="3" s="1"/>
  <c r="A54" i="3" s="1"/>
  <c r="A62" i="3" s="1"/>
  <c r="I6" i="3" s="1"/>
  <c r="I14" i="3" s="1"/>
  <c r="I22" i="3" s="1"/>
  <c r="I30" i="3" s="1"/>
  <c r="I38" i="3" s="1"/>
  <c r="G14" i="3"/>
  <c r="C14" i="3"/>
  <c r="F13" i="3"/>
  <c r="D13" i="3"/>
  <c r="B13" i="3"/>
  <c r="G13" i="3"/>
  <c r="C13" i="3"/>
  <c r="E13" i="3"/>
  <c r="A13" i="3"/>
  <c r="A21" i="3" s="1"/>
  <c r="A29" i="3" s="1"/>
  <c r="A37" i="3" s="1"/>
  <c r="A45" i="3" s="1"/>
  <c r="A53" i="3" s="1"/>
  <c r="A61" i="3" s="1"/>
  <c r="I5" i="3" s="1"/>
  <c r="I13" i="3" s="1"/>
  <c r="I21" i="3" s="1"/>
  <c r="I29" i="3" s="1"/>
  <c r="I37" i="3" s="1"/>
  <c r="F24" i="2"/>
  <c r="D24" i="2"/>
  <c r="B24" i="2"/>
  <c r="B32" i="2" s="1"/>
  <c r="J16" i="2" s="1"/>
  <c r="J24" i="2" s="1"/>
  <c r="J32" i="2" s="1"/>
  <c r="G24" i="2"/>
  <c r="C24" i="2"/>
  <c r="E24" i="2"/>
  <c r="I11" i="4" l="1" a="1"/>
  <c r="I15" i="4" s="1"/>
  <c r="E12" i="8"/>
  <c r="F12" i="8" s="1"/>
  <c r="G12" i="8" s="1"/>
  <c r="H12" i="8" s="1" a="1"/>
  <c r="H12" i="8" s="1"/>
  <c r="B11" i="7"/>
  <c r="E11" i="7"/>
  <c r="D11" i="7"/>
  <c r="C11" i="7"/>
  <c r="F11" i="7"/>
  <c r="E11" i="3"/>
  <c r="G11" i="3"/>
  <c r="D11" i="3"/>
  <c r="E28" i="2"/>
  <c r="M12" i="2" s="1"/>
  <c r="M20" i="2" s="1"/>
  <c r="M28" i="2" s="1"/>
  <c r="F37" i="2" s="1"/>
  <c r="E21" i="2"/>
  <c r="G28" i="2"/>
  <c r="O12" i="2" s="1"/>
  <c r="O20" i="2" s="1"/>
  <c r="O28" i="2" s="1"/>
  <c r="H37" i="2" s="1"/>
  <c r="G21" i="2"/>
  <c r="D28" i="2"/>
  <c r="L12" i="2" s="1"/>
  <c r="L20" i="2" s="1"/>
  <c r="L28" i="2" s="1"/>
  <c r="E37" i="2" s="1"/>
  <c r="D21" i="2"/>
  <c r="K26" i="3"/>
  <c r="K34" i="3" s="1"/>
  <c r="N2" i="3"/>
  <c r="N10" i="3" s="1"/>
  <c r="N18" i="3" s="1"/>
  <c r="N26" i="3" s="1"/>
  <c r="N34" i="3" s="1"/>
  <c r="O2" i="3"/>
  <c r="O10" i="3" s="1"/>
  <c r="O18" i="3" s="1"/>
  <c r="O26" i="3" s="1"/>
  <c r="G23" i="2"/>
  <c r="H42" i="5" a="1"/>
  <c r="H42" i="5" s="1"/>
  <c r="K6" i="5" s="1"/>
  <c r="H18" i="5" a="1"/>
  <c r="H18" i="5" s="1"/>
  <c r="K3" i="5" s="1"/>
  <c r="H50" i="5" a="1"/>
  <c r="H50" i="5" s="1"/>
  <c r="K7" i="5" s="1"/>
  <c r="I19" i="6"/>
  <c r="G32" i="6" s="1"/>
  <c r="B34" i="5"/>
  <c r="H10" i="5" a="1"/>
  <c r="H10" i="5" s="1"/>
  <c r="K2" i="5" s="1"/>
  <c r="F30" i="2"/>
  <c r="D30" i="2"/>
  <c r="G30" i="2"/>
  <c r="C30" i="2"/>
  <c r="K14" i="2" s="1"/>
  <c r="K22" i="2" s="1"/>
  <c r="K30" i="2" s="1"/>
  <c r="E30" i="2"/>
  <c r="C28" i="2"/>
  <c r="K12" i="2" s="1"/>
  <c r="K20" i="2" s="1"/>
  <c r="K28" i="2" s="1"/>
  <c r="D37" i="2" s="1"/>
  <c r="C21" i="2"/>
  <c r="B28" i="2"/>
  <c r="J12" i="2" s="1"/>
  <c r="J20" i="2" s="1"/>
  <c r="J28" i="2" s="1"/>
  <c r="C37" i="2" s="1"/>
  <c r="B21" i="2"/>
  <c r="B29" i="2" s="1"/>
  <c r="J13" i="2" s="1"/>
  <c r="J21" i="2" s="1"/>
  <c r="J29" i="2" s="1"/>
  <c r="F28" i="2"/>
  <c r="N12" i="2" s="1"/>
  <c r="N20" i="2" s="1"/>
  <c r="N28" i="2" s="1"/>
  <c r="G37" i="2" s="1"/>
  <c r="F21" i="2"/>
  <c r="A11" i="3"/>
  <c r="A19" i="3" s="1"/>
  <c r="A27" i="3" s="1"/>
  <c r="A35" i="3" s="1"/>
  <c r="A43" i="3" s="1"/>
  <c r="A51" i="3" s="1"/>
  <c r="A59" i="3" s="1"/>
  <c r="I3" i="3" s="1"/>
  <c r="I11" i="3" s="1"/>
  <c r="I19" i="3" s="1"/>
  <c r="I27" i="3" s="1"/>
  <c r="I35" i="3" s="1"/>
  <c r="C11" i="3"/>
  <c r="B11" i="3"/>
  <c r="F11" i="3"/>
  <c r="M10" i="3"/>
  <c r="M18" i="3" s="1"/>
  <c r="M26" i="3" s="1"/>
  <c r="M34" i="3" s="1"/>
  <c r="M2" i="3"/>
  <c r="L18" i="3"/>
  <c r="L26" i="3" s="1"/>
  <c r="L34" i="3" s="1"/>
  <c r="C23" i="2"/>
  <c r="E23" i="2"/>
  <c r="D23" i="2"/>
  <c r="H26" i="5" a="1"/>
  <c r="H26" i="5" s="1"/>
  <c r="K4" i="5" s="1"/>
  <c r="H34" i="5" a="1"/>
  <c r="H34" i="5" s="1"/>
  <c r="K5" i="5" s="1"/>
  <c r="I14" i="4" l="1"/>
  <c r="I11" i="4"/>
  <c r="I12" i="4"/>
  <c r="I16" i="4"/>
  <c r="I13" i="4"/>
  <c r="H11" i="7" a="1"/>
  <c r="H11" i="7" s="1"/>
  <c r="B20" i="6"/>
  <c r="A19" i="6" s="1"/>
  <c r="I27" i="6" s="1"/>
  <c r="F19" i="3"/>
  <c r="D19" i="3"/>
  <c r="B19" i="3"/>
  <c r="G19" i="3"/>
  <c r="C19" i="3"/>
  <c r="E19" i="3"/>
  <c r="O14" i="2"/>
  <c r="O22" i="2" s="1"/>
  <c r="O30" i="2" s="1"/>
  <c r="H39" i="2" s="1"/>
  <c r="M14" i="2"/>
  <c r="M22" i="2" s="1"/>
  <c r="M30" i="2" s="1"/>
  <c r="F39" i="2" s="1"/>
  <c r="L14" i="2"/>
  <c r="L22" i="2" s="1"/>
  <c r="L30" i="2" s="1"/>
  <c r="E39" i="2" s="1"/>
  <c r="N14" i="2"/>
  <c r="N22" i="2" s="1"/>
  <c r="N30" i="2" s="1"/>
  <c r="G39" i="2" s="1"/>
  <c r="D27" i="6"/>
  <c r="D35" i="6" s="1"/>
  <c r="D43" i="6" s="1"/>
  <c r="D51" i="6" s="1"/>
  <c r="F30" i="6"/>
  <c r="F38" i="6" s="1"/>
  <c r="F32" i="6"/>
  <c r="D30" i="6"/>
  <c r="D32" i="6"/>
  <c r="D40" i="6" s="1"/>
  <c r="D48" i="6" s="1"/>
  <c r="D56" i="6" s="1"/>
  <c r="G27" i="6"/>
  <c r="F28" i="6"/>
  <c r="E30" i="6"/>
  <c r="E38" i="6" s="1"/>
  <c r="E31" i="6"/>
  <c r="E32" i="6"/>
  <c r="F29" i="2"/>
  <c r="F31" i="2" s="1"/>
  <c r="D29" i="2"/>
  <c r="E29" i="2"/>
  <c r="E31" i="2" s="1"/>
  <c r="G29" i="2"/>
  <c r="C29" i="2"/>
  <c r="C31" i="2" s="1"/>
  <c r="K15" i="2" s="1"/>
  <c r="K23" i="2" s="1"/>
  <c r="K31" i="2" s="1"/>
  <c r="E28" i="6"/>
  <c r="F31" i="6"/>
  <c r="F27" i="6"/>
  <c r="G28" i="6"/>
  <c r="D31" i="6"/>
  <c r="E27" i="6"/>
  <c r="D28" i="6"/>
  <c r="D36" i="6" s="1"/>
  <c r="D44" i="6" s="1"/>
  <c r="D52" i="6" s="1"/>
  <c r="G30" i="6"/>
  <c r="G38" i="6" s="1"/>
  <c r="G31" i="6"/>
  <c r="F21" i="3" l="1"/>
  <c r="F23" i="3"/>
  <c r="C21" i="3"/>
  <c r="C23" i="3"/>
  <c r="B21" i="3"/>
  <c r="B29" i="3" s="1"/>
  <c r="B37" i="3" s="1"/>
  <c r="B45" i="3" s="1"/>
  <c r="B53" i="3" s="1"/>
  <c r="B61" i="3" s="1"/>
  <c r="J5" i="3" s="1"/>
  <c r="J13" i="3" s="1"/>
  <c r="J21" i="3" s="1"/>
  <c r="J29" i="3" s="1"/>
  <c r="J37" i="3" s="1"/>
  <c r="B23" i="3"/>
  <c r="E21" i="3"/>
  <c r="E23" i="3"/>
  <c r="G21" i="3"/>
  <c r="G23" i="3"/>
  <c r="D21" i="3"/>
  <c r="D23" i="3"/>
  <c r="O13" i="2"/>
  <c r="O21" i="2" s="1"/>
  <c r="O29" i="2" s="1"/>
  <c r="H38" i="2" s="1"/>
  <c r="G32" i="2"/>
  <c r="L13" i="2"/>
  <c r="L21" i="2" s="1"/>
  <c r="L29" i="2" s="1"/>
  <c r="E38" i="2" s="1"/>
  <c r="D32" i="2"/>
  <c r="C27" i="3"/>
  <c r="C35" i="3" s="1"/>
  <c r="C43" i="3" s="1"/>
  <c r="C51" i="3" s="1"/>
  <c r="C59" i="3" s="1"/>
  <c r="K3" i="3" s="1"/>
  <c r="K11" i="3" s="1"/>
  <c r="K19" i="3" s="1"/>
  <c r="C22" i="3"/>
  <c r="C20" i="3"/>
  <c r="B27" i="3"/>
  <c r="B35" i="3" s="1"/>
  <c r="B43" i="3" s="1"/>
  <c r="B51" i="3" s="1"/>
  <c r="B59" i="3" s="1"/>
  <c r="J3" i="3" s="1"/>
  <c r="J11" i="3" s="1"/>
  <c r="J19" i="3" s="1"/>
  <c r="J27" i="3" s="1"/>
  <c r="J35" i="3" s="1"/>
  <c r="J34" i="3" s="1"/>
  <c r="B22" i="3"/>
  <c r="B20" i="3"/>
  <c r="F27" i="3"/>
  <c r="F35" i="3" s="1"/>
  <c r="F43" i="3" s="1"/>
  <c r="F51" i="3" s="1"/>
  <c r="F59" i="3" s="1"/>
  <c r="F22" i="3"/>
  <c r="F20" i="3"/>
  <c r="K13" i="2"/>
  <c r="K21" i="2" s="1"/>
  <c r="K29" i="2" s="1"/>
  <c r="D38" i="2" s="1"/>
  <c r="C32" i="2"/>
  <c r="K16" i="2" s="1"/>
  <c r="K24" i="2" s="1"/>
  <c r="K32" i="2" s="1"/>
  <c r="M13" i="2"/>
  <c r="M21" i="2" s="1"/>
  <c r="M29" i="2" s="1"/>
  <c r="F38" i="2" s="1"/>
  <c r="E32" i="2"/>
  <c r="N13" i="2"/>
  <c r="N21" i="2" s="1"/>
  <c r="N29" i="2" s="1"/>
  <c r="G38" i="2" s="1"/>
  <c r="F32" i="2"/>
  <c r="G31" i="2"/>
  <c r="D31" i="2"/>
  <c r="G40" i="6"/>
  <c r="E40" i="6"/>
  <c r="F39" i="6"/>
  <c r="F47" i="6" s="1"/>
  <c r="G37" i="6"/>
  <c r="E37" i="6"/>
  <c r="F36" i="6"/>
  <c r="F35" i="6"/>
  <c r="F40" i="6"/>
  <c r="G39" i="6"/>
  <c r="G47" i="6" s="1"/>
  <c r="F37" i="6"/>
  <c r="E36" i="6"/>
  <c r="E35" i="6"/>
  <c r="E39" i="6"/>
  <c r="G36" i="6"/>
  <c r="G35" i="6"/>
  <c r="C29" i="6"/>
  <c r="B28" i="6" s="1"/>
  <c r="A27" i="6" s="1"/>
  <c r="I35" i="6" s="1"/>
  <c r="E27" i="3"/>
  <c r="E35" i="3" s="1"/>
  <c r="E43" i="3" s="1"/>
  <c r="E51" i="3" s="1"/>
  <c r="E59" i="3" s="1"/>
  <c r="E22" i="3"/>
  <c r="E20" i="3"/>
  <c r="G27" i="3"/>
  <c r="G35" i="3" s="1"/>
  <c r="G43" i="3" s="1"/>
  <c r="G51" i="3" s="1"/>
  <c r="G59" i="3" s="1"/>
  <c r="G22" i="3"/>
  <c r="G20" i="3"/>
  <c r="D27" i="3"/>
  <c r="D35" i="3" s="1"/>
  <c r="D43" i="3" s="1"/>
  <c r="D51" i="3" s="1"/>
  <c r="D59" i="3" s="1"/>
  <c r="L3" i="3" s="1"/>
  <c r="L11" i="3" s="1"/>
  <c r="D22" i="3"/>
  <c r="D20" i="3"/>
  <c r="E29" i="3" l="1"/>
  <c r="G29" i="3"/>
  <c r="D29" i="3"/>
  <c r="C29" i="3"/>
  <c r="D31" i="3"/>
  <c r="B31" i="3"/>
  <c r="B39" i="3" s="1"/>
  <c r="B47" i="3" s="1"/>
  <c r="B55" i="3" s="1"/>
  <c r="B63" i="3" s="1"/>
  <c r="J7" i="3" s="1"/>
  <c r="J15" i="3" s="1"/>
  <c r="J23" i="3" s="1"/>
  <c r="J31" i="3" s="1"/>
  <c r="J39" i="3" s="1"/>
  <c r="E31" i="3"/>
  <c r="G31" i="3"/>
  <c r="F31" i="3"/>
  <c r="C31" i="3"/>
  <c r="F29" i="3"/>
  <c r="L19" i="3"/>
  <c r="L27" i="3" s="1"/>
  <c r="L35" i="3" s="1"/>
  <c r="M3" i="3"/>
  <c r="G48" i="6"/>
  <c r="G56" i="6" s="1"/>
  <c r="F46" i="6"/>
  <c r="F45" i="6"/>
  <c r="F44" i="6"/>
  <c r="G43" i="6"/>
  <c r="G45" i="6"/>
  <c r="F48" i="6"/>
  <c r="G46" i="6"/>
  <c r="G44" i="6"/>
  <c r="F43" i="6"/>
  <c r="F30" i="3"/>
  <c r="D30" i="3"/>
  <c r="B30" i="3"/>
  <c r="B38" i="3" s="1"/>
  <c r="B46" i="3" s="1"/>
  <c r="B54" i="3" s="1"/>
  <c r="B62" i="3" s="1"/>
  <c r="J6" i="3" s="1"/>
  <c r="J14" i="3" s="1"/>
  <c r="J22" i="3" s="1"/>
  <c r="J30" i="3" s="1"/>
  <c r="J38" i="3" s="1"/>
  <c r="E30" i="3"/>
  <c r="G30" i="3"/>
  <c r="C30" i="3"/>
  <c r="O16" i="2"/>
  <c r="M16" i="2"/>
  <c r="L16" i="2"/>
  <c r="L24" i="2" s="1"/>
  <c r="L32" i="2" s="1"/>
  <c r="N16" i="2"/>
  <c r="D38" i="6"/>
  <c r="C37" i="6" s="1"/>
  <c r="B36" i="6" s="1"/>
  <c r="A35" i="6" s="1"/>
  <c r="I43" i="6" s="1"/>
  <c r="O15" i="2"/>
  <c r="M15" i="2"/>
  <c r="N15" i="2"/>
  <c r="L15" i="2"/>
  <c r="L23" i="2" s="1"/>
  <c r="L31" i="2" s="1"/>
  <c r="F28" i="3"/>
  <c r="D28" i="3"/>
  <c r="B28" i="3"/>
  <c r="B36" i="3" s="1"/>
  <c r="B44" i="3" s="1"/>
  <c r="B52" i="3" s="1"/>
  <c r="B60" i="3" s="1"/>
  <c r="J4" i="3" s="1"/>
  <c r="J12" i="3" s="1"/>
  <c r="J20" i="3" s="1"/>
  <c r="J28" i="3" s="1"/>
  <c r="J36" i="3" s="1"/>
  <c r="E28" i="3"/>
  <c r="G28" i="3"/>
  <c r="C28" i="3"/>
  <c r="F36" i="3" l="1"/>
  <c r="D36" i="3"/>
  <c r="E36" i="3"/>
  <c r="G36" i="3"/>
  <c r="G38" i="3" s="1"/>
  <c r="C36" i="3"/>
  <c r="C37" i="3" s="1"/>
  <c r="C45" i="3" s="1"/>
  <c r="C53" i="3" s="1"/>
  <c r="C61" i="3" s="1"/>
  <c r="K5" i="3" s="1"/>
  <c r="K13" i="3" s="1"/>
  <c r="K21" i="3" s="1"/>
  <c r="K29" i="3" s="1"/>
  <c r="K37" i="3" s="1"/>
  <c r="O23" i="2"/>
  <c r="O31" i="2" s="1"/>
  <c r="H40" i="2" s="1"/>
  <c r="M23" i="2"/>
  <c r="M31" i="2" s="1"/>
  <c r="F40" i="2" s="1"/>
  <c r="N23" i="2"/>
  <c r="N31" i="2" s="1"/>
  <c r="G40" i="2" s="1"/>
  <c r="G55" i="6"/>
  <c r="G53" i="6"/>
  <c r="G51" i="6"/>
  <c r="F56" i="6"/>
  <c r="G54" i="6"/>
  <c r="G52" i="6"/>
  <c r="E47" i="6"/>
  <c r="D38" i="3" l="1"/>
  <c r="D39" i="3"/>
  <c r="F38" i="3"/>
  <c r="F37" i="3"/>
  <c r="C44" i="3"/>
  <c r="C52" i="3" s="1"/>
  <c r="C60" i="3" s="1"/>
  <c r="K4" i="3" s="1"/>
  <c r="K12" i="3" s="1"/>
  <c r="K20" i="3" s="1"/>
  <c r="C39" i="3"/>
  <c r="C47" i="3" s="1"/>
  <c r="C55" i="3" s="1"/>
  <c r="C63" i="3" s="1"/>
  <c r="K7" i="3" s="1"/>
  <c r="K15" i="3" s="1"/>
  <c r="K23" i="3" s="1"/>
  <c r="K31" i="3" s="1"/>
  <c r="K39" i="3" s="1"/>
  <c r="E44" i="3"/>
  <c r="E52" i="3" s="1"/>
  <c r="E60" i="3" s="1"/>
  <c r="E39" i="3"/>
  <c r="E37" i="3"/>
  <c r="F44" i="3"/>
  <c r="F52" i="3" s="1"/>
  <c r="F60" i="3" s="1"/>
  <c r="F39" i="3"/>
  <c r="C38" i="3"/>
  <c r="C46" i="3" s="1"/>
  <c r="C54" i="3" s="1"/>
  <c r="C62" i="3" s="1"/>
  <c r="K6" i="3" s="1"/>
  <c r="K14" i="3" s="1"/>
  <c r="K22" i="3" s="1"/>
  <c r="K30" i="3" s="1"/>
  <c r="K38" i="3" s="1"/>
  <c r="M24" i="2"/>
  <c r="M32" i="2" s="1"/>
  <c r="E55" i="6"/>
  <c r="D46" i="6"/>
  <c r="G44" i="3"/>
  <c r="G52" i="3" s="1"/>
  <c r="G60" i="3" s="1"/>
  <c r="G39" i="3"/>
  <c r="G37" i="3"/>
  <c r="D44" i="3"/>
  <c r="D52" i="3" s="1"/>
  <c r="D60" i="3" s="1"/>
  <c r="L4" i="3" s="1"/>
  <c r="L12" i="3" s="1"/>
  <c r="D37" i="3"/>
  <c r="E38" i="3"/>
  <c r="N24" i="2"/>
  <c r="O24" i="2"/>
  <c r="D54" i="6" l="1"/>
  <c r="C45" i="6"/>
  <c r="M4" i="3"/>
  <c r="K28" i="3"/>
  <c r="K36" i="3" s="1"/>
  <c r="K27" i="3"/>
  <c r="K35" i="3" s="1"/>
  <c r="L20" i="3"/>
  <c r="L28" i="3" s="1"/>
  <c r="L36" i="3" s="1"/>
  <c r="O32" i="2"/>
  <c r="H41" i="2" s="1"/>
  <c r="K41" i="2" s="1"/>
  <c r="N32" i="2"/>
  <c r="G41" i="2" s="1"/>
  <c r="G45" i="3"/>
  <c r="G47" i="3" s="1"/>
  <c r="E45" i="3"/>
  <c r="E53" i="3" s="1"/>
  <c r="E61" i="3" s="1"/>
  <c r="D45" i="3"/>
  <c r="D47" i="3" s="1"/>
  <c r="D55" i="3" s="1"/>
  <c r="D63" i="3" s="1"/>
  <c r="L7" i="3" s="1"/>
  <c r="L15" i="3" s="1"/>
  <c r="L23" i="3" s="1"/>
  <c r="L31" i="3" s="1"/>
  <c r="L39" i="3" s="1"/>
  <c r="F45" i="3"/>
  <c r="F47" i="3" s="1"/>
  <c r="E47" i="3" l="1"/>
  <c r="M5" i="3"/>
  <c r="F53" i="3"/>
  <c r="F61" i="3" s="1"/>
  <c r="F46" i="3"/>
  <c r="D53" i="3"/>
  <c r="D61" i="3" s="1"/>
  <c r="L5" i="3" s="1"/>
  <c r="L13" i="3" s="1"/>
  <c r="L21" i="3" s="1"/>
  <c r="L29" i="3" s="1"/>
  <c r="L37" i="3" s="1"/>
  <c r="D46" i="3"/>
  <c r="D54" i="3" s="1"/>
  <c r="D62" i="3" s="1"/>
  <c r="L6" i="3" s="1"/>
  <c r="L14" i="3" s="1"/>
  <c r="L22" i="3" s="1"/>
  <c r="L30" i="3" s="1"/>
  <c r="L38" i="3" s="1"/>
  <c r="G53" i="3"/>
  <c r="G61" i="3" s="1"/>
  <c r="G46" i="3"/>
  <c r="K40" i="2"/>
  <c r="C53" i="6"/>
  <c r="B44" i="6"/>
  <c r="E46" i="3"/>
  <c r="B52" i="6" l="1"/>
  <c r="A43" i="6"/>
  <c r="A51" i="6" s="1"/>
  <c r="K39" i="2"/>
  <c r="G54" i="3"/>
  <c r="E54" i="3"/>
  <c r="F54" i="3"/>
  <c r="F62" i="3" l="1"/>
  <c r="F55" i="3"/>
  <c r="G62" i="3"/>
  <c r="G55" i="3"/>
  <c r="K38" i="2"/>
  <c r="K37" i="2" s="1"/>
  <c r="K36" i="2" s="1"/>
  <c r="E62" i="3"/>
  <c r="M6" i="3" s="1"/>
  <c r="E55" i="3"/>
  <c r="E63" i="3" s="1"/>
  <c r="M7" i="3" s="1"/>
  <c r="M15" i="3" s="1"/>
  <c r="M23" i="3" s="1"/>
  <c r="M31" i="3" s="1"/>
  <c r="M39" i="3" s="1"/>
  <c r="M14" i="3" l="1"/>
  <c r="M22" i="3" s="1"/>
  <c r="M30" i="3" s="1"/>
  <c r="M38" i="3" s="1"/>
  <c r="M11" i="3"/>
  <c r="M19" i="3" s="1"/>
  <c r="M27" i="3" s="1"/>
  <c r="M35" i="3" s="1"/>
  <c r="M12" i="3"/>
  <c r="M20" i="3" s="1"/>
  <c r="M28" i="3" s="1"/>
  <c r="M36" i="3" s="1"/>
  <c r="M13" i="3"/>
  <c r="M21" i="3" s="1"/>
  <c r="M29" i="3" s="1"/>
  <c r="M37" i="3" s="1"/>
  <c r="F63" i="3"/>
  <c r="N7" i="3" s="1"/>
  <c r="N5" i="3" s="1"/>
  <c r="N13" i="3" s="1"/>
  <c r="N21" i="3" s="1"/>
  <c r="N29" i="3" s="1"/>
  <c r="N37" i="3" s="1"/>
  <c r="G63" i="3"/>
  <c r="O7" i="3" s="1"/>
  <c r="O6" i="3" l="1"/>
  <c r="O14" i="3" s="1"/>
  <c r="O22" i="3" s="1"/>
  <c r="O30" i="3" s="1"/>
  <c r="O38" i="3" s="1"/>
  <c r="R6" i="3" s="1"/>
  <c r="O5" i="3"/>
  <c r="O15" i="3"/>
  <c r="O23" i="3" s="1"/>
  <c r="O31" i="3" s="1"/>
  <c r="O39" i="3" s="1"/>
  <c r="R7" i="3" s="1"/>
  <c r="O3" i="3"/>
  <c r="O4" i="3"/>
  <c r="N15" i="3"/>
  <c r="N23" i="3" s="1"/>
  <c r="N31" i="3" s="1"/>
  <c r="N39" i="3" s="1"/>
  <c r="N3" i="3"/>
  <c r="N11" i="3" s="1"/>
  <c r="N19" i="3" s="1"/>
  <c r="N27" i="3" s="1"/>
  <c r="N35" i="3" s="1"/>
  <c r="N4" i="3"/>
  <c r="N12" i="3" s="1"/>
  <c r="N20" i="3" s="1"/>
  <c r="N28" i="3" s="1"/>
  <c r="N36" i="3" s="1"/>
  <c r="N6" i="3"/>
  <c r="N14" i="3" s="1"/>
  <c r="N22" i="3" s="1"/>
  <c r="N30" i="3" s="1"/>
  <c r="N38" i="3" s="1"/>
  <c r="O13" i="3" l="1"/>
  <c r="O21" i="3" s="1"/>
  <c r="O29" i="3" s="1"/>
  <c r="O37" i="3" s="1"/>
  <c r="R5" i="3" s="1"/>
  <c r="O11" i="3"/>
  <c r="O19" i="3" s="1"/>
  <c r="O12" i="3"/>
  <c r="O20" i="3" s="1"/>
  <c r="O28" i="3" s="1"/>
  <c r="O36" i="3" s="1"/>
  <c r="R4" i="3" s="1"/>
  <c r="O27" i="3" l="1"/>
  <c r="O35" i="3" s="1"/>
  <c r="R3" i="3" s="1"/>
  <c r="O34" i="3" l="1"/>
  <c r="R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<sst xmlns="http://schemas.openxmlformats.org/spreadsheetml/2006/main" count="305" uniqueCount="36">
  <si>
    <t>Sistema de Ecuaciones</t>
  </si>
  <si>
    <t>a</t>
  </si>
  <si>
    <t>b</t>
  </si>
  <si>
    <t>c</t>
  </si>
  <si>
    <t>d</t>
  </si>
  <si>
    <t>e</t>
  </si>
  <si>
    <t>f</t>
  </si>
  <si>
    <t>Igualdad</t>
  </si>
  <si>
    <t>Resultado</t>
  </si>
  <si>
    <t>Respuesta</t>
  </si>
  <si>
    <t>Matriz Inversa</t>
  </si>
  <si>
    <t>DET (A)</t>
  </si>
  <si>
    <t>DET(A)</t>
  </si>
  <si>
    <t>DET (A1)</t>
  </si>
  <si>
    <t>DET(A1)</t>
  </si>
  <si>
    <t>DET (A2)</t>
  </si>
  <si>
    <t>DET(A2)</t>
  </si>
  <si>
    <t>DET (A3)</t>
  </si>
  <si>
    <t>DET(A3)</t>
  </si>
  <si>
    <t>DET (A4)</t>
  </si>
  <si>
    <t>DET(A4)</t>
  </si>
  <si>
    <t>DET (A5)</t>
  </si>
  <si>
    <t>DET(A5)</t>
  </si>
  <si>
    <t>DET (A6)</t>
  </si>
  <si>
    <t>DET(A6)</t>
  </si>
  <si>
    <t>Pivote</t>
  </si>
  <si>
    <t>k</t>
  </si>
  <si>
    <t>cck</t>
  </si>
  <si>
    <t>ncs</t>
  </si>
  <si>
    <t>E</t>
  </si>
  <si>
    <t>Ncs</t>
  </si>
  <si>
    <t>Estudiantes</t>
  </si>
  <si>
    <t>Jonás Samuel Salazar Torres</t>
  </si>
  <si>
    <t>Alexander Yama Rosero</t>
  </si>
  <si>
    <t>Daniel Alejandro Trujillo Figueroa</t>
  </si>
  <si>
    <t>igualdad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</si>
</sst>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5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rgb="FFFA7D00"/>
      <name val="Calibri"/>
    </font>
    <font>
      <b/>
      <sz val="11"/>
      <color theme="0"/>
      <name val="Calibri"/>
      <scheme val="minor"/>
    </font>
    <font>
      <b/>
      <sz val="11"/>
      <color theme="5"/>
      <name val="Calibri"/>
      <scheme val="minor"/>
    </font>
    <font>
      <sz val="9"/>
      <color rgb="FF000000"/>
      <name val="&quot;Google Sans Mono&quot;"/>
    </font>
    <font>
      <b/>
      <sz val="11"/>
      <color rgb="FFF7981D"/>
      <name val="Calibri"/>
      <scheme val="minor"/>
    </font>
    <font>
      <b/>
      <sz val="11"/>
      <color rgb="FFFA7D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C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0070C0"/>
        <bgColor indexed="64"/>
      </patternFill>
    </fill>
    <fill>
      <patternFill patternType="solid">
        <fgColor theme="2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2" fontId="1" fillId="0" borderId="4" xfId="0" applyNumberFormat="1" applyFont="1" applyBorder="1"/>
    <xf numFmtId="0" fontId="1" fillId="0" borderId="4" xfId="0" applyFont="1" applyBorder="1" applyAlignment="1"/>
    <xf numFmtId="0" fontId="3" fillId="0" borderId="4" xfId="0" applyFont="1" applyBorder="1"/>
    <xf numFmtId="12" fontId="3" fillId="0" borderId="4" xfId="0" applyNumberFormat="1" applyFont="1" applyBorder="1"/>
    <xf numFmtId="0" fontId="1" fillId="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7" fillId="6" borderId="0" xfId="0" applyFont="1" applyFill="1"/>
    <xf numFmtId="0" fontId="9" fillId="4" borderId="4" xfId="0" applyFont="1" applyFill="1" applyBorder="1" applyAlignment="1">
      <alignment horizontal="center"/>
    </xf>
    <xf numFmtId="12" fontId="9" fillId="7" borderId="4" xfId="0" applyNumberFormat="1" applyFont="1" applyFill="1" applyBorder="1"/>
    <xf numFmtId="0" fontId="3" fillId="8" borderId="4" xfId="0" applyFont="1" applyFill="1" applyBorder="1"/>
    <xf numFmtId="12" fontId="3" fillId="8" borderId="4" xfId="0" applyNumberFormat="1" applyFont="1" applyFill="1" applyBorder="1"/>
    <xf numFmtId="0" fontId="3" fillId="0" borderId="4" xfId="0" applyFont="1" applyBorder="1" applyAlignment="1"/>
    <xf numFmtId="0" fontId="3" fillId="8" borderId="4" xfId="0" applyFont="1" applyFill="1" applyBorder="1" applyAlignment="1"/>
    <xf numFmtId="0" fontId="3" fillId="0" borderId="0" xfId="0" applyFont="1"/>
    <xf numFmtId="0" fontId="3" fillId="8" borderId="0" xfId="0" applyFont="1" applyFill="1"/>
    <xf numFmtId="0" fontId="10" fillId="0" borderId="4" xfId="0" applyFont="1" applyBorder="1"/>
    <xf numFmtId="0" fontId="11" fillId="9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3" fillId="2" borderId="4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2" xfId="0" applyFont="1" applyBorder="1"/>
    <xf numFmtId="0" fontId="13" fillId="0" borderId="3" xfId="0" applyFont="1" applyBorder="1"/>
    <xf numFmtId="0" fontId="0" fillId="0" borderId="8" xfId="0" applyFont="1" applyBorder="1" applyAlignment="1">
      <alignment horizontal="center"/>
    </xf>
    <xf numFmtId="0" fontId="12" fillId="10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5" fillId="5" borderId="5" xfId="0" applyFont="1" applyFill="1" applyBorder="1" applyAlignment="1">
      <alignment horizontal="center"/>
    </xf>
    <xf numFmtId="0" fontId="2" fillId="0" borderId="7" xfId="0" applyFont="1" applyBorder="1"/>
    <xf numFmtId="0" fontId="8" fillId="4" borderId="5" xfId="0" applyFont="1" applyFill="1" applyBorder="1" applyAlignment="1">
      <alignment horizontal="center"/>
    </xf>
    <xf numFmtId="164" fontId="3" fillId="0" borderId="4" xfId="0" applyNumberFormat="1" applyFont="1" applyBorder="1" applyAlignment="1"/>
    <xf numFmtId="164" fontId="3" fillId="0" borderId="4" xfId="0" applyNumberFormat="1" applyFont="1" applyBorder="1"/>
    <xf numFmtId="0" fontId="14" fillId="11" borderId="8" xfId="0" applyFont="1" applyFill="1" applyBorder="1" applyAlignment="1">
      <alignment horizontal="center"/>
    </xf>
    <xf numFmtId="0" fontId="0" fillId="0" borderId="8" xfId="0" applyFont="1" applyBorder="1" applyAlignment="1"/>
    <xf numFmtId="0" fontId="3" fillId="0" borderId="4" xfId="0" applyNumberFormat="1" applyFont="1" applyBorder="1"/>
    <xf numFmtId="0" fontId="3" fillId="0" borderId="4" xfId="0" applyNumberFormat="1" applyFont="1" applyBorder="1" applyAlignment="1"/>
    <xf numFmtId="0" fontId="13" fillId="2" borderId="5" xfId="0" applyFont="1" applyFill="1" applyBorder="1" applyAlignment="1">
      <alignment horizontal="center" vertical="center"/>
    </xf>
    <xf numFmtId="0" fontId="13" fillId="0" borderId="7" xfId="0" applyFont="1" applyBorder="1"/>
    <xf numFmtId="0" fontId="13" fillId="0" borderId="6" xfId="0" applyFont="1" applyBorder="1"/>
    <xf numFmtId="0" fontId="13" fillId="3" borderId="4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13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G8" sqref="G8"/>
    </sheetView>
  </sheetViews>
  <sheetFormatPr baseColWidth="10" defaultColWidth="14.44140625" defaultRowHeight="15" customHeight="1"/>
  <cols>
    <col min="1" max="26" width="10.6640625" customWidth="1"/>
  </cols>
  <sheetData>
    <row r="1" spans="1:7" ht="14.4">
      <c r="A1" s="25" t="s">
        <v>0</v>
      </c>
      <c r="B1" s="26"/>
      <c r="C1" s="26"/>
      <c r="D1" s="26"/>
      <c r="E1" s="26"/>
      <c r="F1" s="26"/>
      <c r="G1" s="27"/>
    </row>
    <row r="2" spans="1:7" ht="14.4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</row>
    <row r="3" spans="1:7" ht="14.4">
      <c r="A3" s="2">
        <v>2</v>
      </c>
      <c r="B3" s="2">
        <v>-3</v>
      </c>
      <c r="C3" s="2">
        <v>0</v>
      </c>
      <c r="D3" s="2">
        <v>0</v>
      </c>
      <c r="E3" s="2">
        <v>0</v>
      </c>
      <c r="F3" s="2">
        <v>0</v>
      </c>
      <c r="G3" s="3">
        <f>-5/3</f>
        <v>-1.6666666666666667</v>
      </c>
    </row>
    <row r="4" spans="1:7" ht="14.4">
      <c r="A4" s="4">
        <v>-1</v>
      </c>
      <c r="B4" s="2">
        <v>4</v>
      </c>
      <c r="C4" s="2">
        <v>-1</v>
      </c>
      <c r="D4" s="2">
        <v>0</v>
      </c>
      <c r="E4" s="2">
        <v>-1</v>
      </c>
      <c r="F4" s="4">
        <v>0</v>
      </c>
      <c r="G4" s="3">
        <v>0.66666666666666663</v>
      </c>
    </row>
    <row r="5" spans="1:7" ht="14.4">
      <c r="A5" s="4">
        <v>0</v>
      </c>
      <c r="B5" s="2">
        <v>-1</v>
      </c>
      <c r="C5" s="2">
        <v>4</v>
      </c>
      <c r="D5" s="2">
        <v>0</v>
      </c>
      <c r="E5" s="2">
        <v>0</v>
      </c>
      <c r="F5" s="2">
        <v>-1</v>
      </c>
      <c r="G5" s="3">
        <v>3</v>
      </c>
    </row>
    <row r="6" spans="1:7" ht="14.4">
      <c r="A6" s="2">
        <v>0</v>
      </c>
      <c r="B6" s="2">
        <v>0</v>
      </c>
      <c r="C6" s="2">
        <v>0</v>
      </c>
      <c r="D6" s="2">
        <v>2</v>
      </c>
      <c r="E6" s="2">
        <v>-3</v>
      </c>
      <c r="F6" s="2">
        <v>0</v>
      </c>
      <c r="G6" s="3">
        <f>-4/3</f>
        <v>-1.3333333333333333</v>
      </c>
    </row>
    <row r="7" spans="1:7" ht="14.4">
      <c r="A7" s="2">
        <v>0</v>
      </c>
      <c r="B7" s="2">
        <v>-1</v>
      </c>
      <c r="C7" s="2">
        <v>0</v>
      </c>
      <c r="D7" s="2">
        <v>-1</v>
      </c>
      <c r="E7" s="2">
        <v>4</v>
      </c>
      <c r="F7" s="2">
        <v>-1</v>
      </c>
      <c r="G7" s="3">
        <f>-1/3</f>
        <v>-0.33333333333333331</v>
      </c>
    </row>
    <row r="8" spans="1:7" ht="14.4">
      <c r="A8" s="2">
        <v>0</v>
      </c>
      <c r="B8" s="2">
        <v>0</v>
      </c>
      <c r="C8" s="2">
        <v>-1</v>
      </c>
      <c r="D8" s="2">
        <v>0</v>
      </c>
      <c r="E8" s="2">
        <v>-1</v>
      </c>
      <c r="F8" s="2">
        <v>4</v>
      </c>
      <c r="G8" s="3">
        <v>1.6666666666666667</v>
      </c>
    </row>
    <row r="10" spans="1:7" ht="15" customHeight="1">
      <c r="A10" s="29" t="s">
        <v>31</v>
      </c>
      <c r="B10" s="28" t="s">
        <v>32</v>
      </c>
      <c r="C10" s="28"/>
      <c r="D10" s="28"/>
    </row>
    <row r="11" spans="1:7" ht="15" customHeight="1">
      <c r="A11" s="29"/>
      <c r="B11" s="28" t="s">
        <v>33</v>
      </c>
      <c r="C11" s="28"/>
      <c r="D11" s="28"/>
    </row>
    <row r="12" spans="1:7" ht="15" customHeight="1">
      <c r="A12" s="29"/>
      <c r="B12" s="28" t="s">
        <v>34</v>
      </c>
      <c r="C12" s="28"/>
      <c r="D12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B10:D10"/>
    <mergeCell ref="B11:D11"/>
    <mergeCell ref="B12:D12"/>
    <mergeCell ref="A10:A1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000"/>
  <sheetViews>
    <sheetView topLeftCell="A25" workbookViewId="0">
      <selection activeCell="M39" sqref="M39"/>
    </sheetView>
  </sheetViews>
  <sheetFormatPr baseColWidth="10" defaultColWidth="14.44140625" defaultRowHeight="15" customHeight="1"/>
  <cols>
    <col min="1" max="26" width="10.6640625" customWidth="1"/>
  </cols>
  <sheetData>
    <row r="2" spans="1:15" ht="14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5" ht="14.4">
      <c r="A3" s="5">
        <f>'Sistema de Ecuaciones'!A3</f>
        <v>2</v>
      </c>
      <c r="B3" s="5">
        <f>'Sistema de Ecuaciones'!B3</f>
        <v>-3</v>
      </c>
      <c r="C3" s="5">
        <f>'Sistema de Ecuaciones'!C3</f>
        <v>0</v>
      </c>
      <c r="D3" s="5">
        <f>'Sistema de Ecuaciones'!D3</f>
        <v>0</v>
      </c>
      <c r="E3" s="5">
        <f>'Sistema de Ecuaciones'!E3</f>
        <v>0</v>
      </c>
      <c r="F3" s="5">
        <f>'Sistema de Ecuaciones'!F3</f>
        <v>0</v>
      </c>
      <c r="G3" s="6">
        <f>'Sistema de Ecuaciones'!G3</f>
        <v>-1.6666666666666667</v>
      </c>
    </row>
    <row r="4" spans="1:15" ht="14.4">
      <c r="A4" s="5">
        <f>'Sistema de Ecuaciones'!A4</f>
        <v>-1</v>
      </c>
      <c r="B4" s="5">
        <f>'Sistema de Ecuaciones'!B4</f>
        <v>4</v>
      </c>
      <c r="C4" s="5">
        <f>'Sistema de Ecuaciones'!C4</f>
        <v>-1</v>
      </c>
      <c r="D4" s="5">
        <f>'Sistema de Ecuaciones'!D4</f>
        <v>0</v>
      </c>
      <c r="E4" s="5">
        <f>'Sistema de Ecuaciones'!E4</f>
        <v>-1</v>
      </c>
      <c r="F4" s="5">
        <f>'Sistema de Ecuaciones'!F4</f>
        <v>0</v>
      </c>
      <c r="G4" s="6">
        <f>'Sistema de Ecuaciones'!G4</f>
        <v>0.66666666666666663</v>
      </c>
    </row>
    <row r="5" spans="1:15" ht="14.4">
      <c r="A5" s="5">
        <f>'Sistema de Ecuaciones'!A5</f>
        <v>0</v>
      </c>
      <c r="B5" s="5">
        <f>'Sistema de Ecuaciones'!B5</f>
        <v>-1</v>
      </c>
      <c r="C5" s="5">
        <f>'Sistema de Ecuaciones'!C5</f>
        <v>4</v>
      </c>
      <c r="D5" s="5">
        <f>'Sistema de Ecuaciones'!D5</f>
        <v>0</v>
      </c>
      <c r="E5" s="5">
        <f>'Sistema de Ecuaciones'!E5</f>
        <v>0</v>
      </c>
      <c r="F5" s="5">
        <f>'Sistema de Ecuaciones'!F5</f>
        <v>-1</v>
      </c>
      <c r="G5" s="6">
        <f>'Sistema de Ecuaciones'!G5</f>
        <v>3</v>
      </c>
    </row>
    <row r="6" spans="1:15" ht="14.4">
      <c r="A6" s="5">
        <f>'Sistema de Ecuaciones'!A6</f>
        <v>0</v>
      </c>
      <c r="B6" s="5">
        <f>'Sistema de Ecuaciones'!B6</f>
        <v>0</v>
      </c>
      <c r="C6" s="5">
        <f>'Sistema de Ecuaciones'!C6</f>
        <v>0</v>
      </c>
      <c r="D6" s="5">
        <f>'Sistema de Ecuaciones'!D6</f>
        <v>2</v>
      </c>
      <c r="E6" s="5">
        <f>'Sistema de Ecuaciones'!E6</f>
        <v>-3</v>
      </c>
      <c r="F6" s="5">
        <f>'Sistema de Ecuaciones'!F6</f>
        <v>0</v>
      </c>
      <c r="G6" s="6">
        <f>'Sistema de Ecuaciones'!G6</f>
        <v>-1.3333333333333333</v>
      </c>
    </row>
    <row r="7" spans="1:15" ht="14.4">
      <c r="A7" s="5">
        <f>'Sistema de Ecuaciones'!A7</f>
        <v>0</v>
      </c>
      <c r="B7" s="5">
        <f>'Sistema de Ecuaciones'!B7</f>
        <v>-1</v>
      </c>
      <c r="C7" s="5">
        <f>'Sistema de Ecuaciones'!C7</f>
        <v>0</v>
      </c>
      <c r="D7" s="5">
        <f>'Sistema de Ecuaciones'!D7</f>
        <v>-1</v>
      </c>
      <c r="E7" s="5">
        <f>'Sistema de Ecuaciones'!E7</f>
        <v>4</v>
      </c>
      <c r="F7" s="5">
        <f>'Sistema de Ecuaciones'!F7</f>
        <v>-1</v>
      </c>
      <c r="G7" s="6">
        <f>'Sistema de Ecuaciones'!G7</f>
        <v>-0.33333333333333331</v>
      </c>
    </row>
    <row r="8" spans="1:15" ht="14.4">
      <c r="A8" s="5">
        <f>'Sistema de Ecuaciones'!A8</f>
        <v>0</v>
      </c>
      <c r="B8" s="5">
        <f>'Sistema de Ecuaciones'!B8</f>
        <v>0</v>
      </c>
      <c r="C8" s="5">
        <f>'Sistema de Ecuaciones'!C8</f>
        <v>-1</v>
      </c>
      <c r="D8" s="5">
        <f>'Sistema de Ecuaciones'!D8</f>
        <v>0</v>
      </c>
      <c r="E8" s="5">
        <f>'Sistema de Ecuaciones'!E8</f>
        <v>-1</v>
      </c>
      <c r="F8" s="5">
        <f>'Sistema de Ecuaciones'!F8</f>
        <v>4</v>
      </c>
      <c r="G8" s="6">
        <f>'Sistema de Ecuaciones'!G8</f>
        <v>1.6666666666666667</v>
      </c>
    </row>
    <row r="10" spans="1:15" ht="14.4">
      <c r="A10" s="1" t="s">
        <v>1</v>
      </c>
      <c r="B10" s="1" t="s">
        <v>2</v>
      </c>
      <c r="C10" s="1" t="s">
        <v>3</v>
      </c>
      <c r="D10" s="1" t="s">
        <v>4</v>
      </c>
      <c r="E10" s="1" t="s">
        <v>5</v>
      </c>
      <c r="F10" s="1" t="s">
        <v>6</v>
      </c>
      <c r="G10" s="1" t="s">
        <v>7</v>
      </c>
      <c r="I10" s="1" t="s">
        <v>1</v>
      </c>
      <c r="J10" s="1" t="s">
        <v>2</v>
      </c>
      <c r="K10" s="1" t="s">
        <v>3</v>
      </c>
      <c r="L10" s="1" t="s">
        <v>4</v>
      </c>
      <c r="M10" s="1" t="s">
        <v>5</v>
      </c>
      <c r="N10" s="1" t="s">
        <v>6</v>
      </c>
      <c r="O10" s="1" t="s">
        <v>7</v>
      </c>
    </row>
    <row r="11" spans="1:15" ht="14.4">
      <c r="A11" s="5">
        <f t="shared" ref="A11:G11" si="0">IF($A$3=1,A3,A3/$A$3)</f>
        <v>1</v>
      </c>
      <c r="B11" s="5">
        <f t="shared" si="0"/>
        <v>-1.5</v>
      </c>
      <c r="C11" s="5">
        <f t="shared" si="0"/>
        <v>0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 t="shared" si="0"/>
        <v>-0.83333333333333337</v>
      </c>
      <c r="I11" s="5">
        <f t="shared" ref="I11:O11" si="1">A27</f>
        <v>1</v>
      </c>
      <c r="J11" s="5">
        <f t="shared" si="1"/>
        <v>-1.5</v>
      </c>
      <c r="K11" s="5">
        <f t="shared" si="1"/>
        <v>0</v>
      </c>
      <c r="L11" s="5">
        <f t="shared" si="1"/>
        <v>0</v>
      </c>
      <c r="M11" s="5">
        <f t="shared" si="1"/>
        <v>0</v>
      </c>
      <c r="N11" s="5">
        <f t="shared" si="1"/>
        <v>0</v>
      </c>
      <c r="O11" s="5">
        <f t="shared" si="1"/>
        <v>-0.83333333333333337</v>
      </c>
    </row>
    <row r="12" spans="1:15" ht="14.4">
      <c r="A12" s="5">
        <f>IF($A$4&lt;0,A11*-$A$4+A4,IF($A$4&gt;0,A11*-$A$4+A4,IF($A$4=0,A4)))</f>
        <v>0</v>
      </c>
      <c r="B12" s="5">
        <f t="shared" ref="B12:G12" si="2">IF($A$4&lt;0,B11*-$A$4+B4,IF($A$4&gt;0,B11*-$A$4+B4,IF($A$4=0,C4)))</f>
        <v>2.5</v>
      </c>
      <c r="C12" s="5">
        <f t="shared" si="2"/>
        <v>-1</v>
      </c>
      <c r="D12" s="5">
        <f t="shared" si="2"/>
        <v>0</v>
      </c>
      <c r="E12" s="5">
        <f t="shared" si="2"/>
        <v>-1</v>
      </c>
      <c r="F12" s="5">
        <f t="shared" si="2"/>
        <v>0</v>
      </c>
      <c r="G12" s="6">
        <f t="shared" si="2"/>
        <v>-0.16666666666666674</v>
      </c>
      <c r="I12" s="5">
        <f t="shared" ref="I12:O12" si="3">A28</f>
        <v>0</v>
      </c>
      <c r="J12" s="5">
        <f t="shared" si="3"/>
        <v>1</v>
      </c>
      <c r="K12" s="5">
        <f t="shared" si="3"/>
        <v>-0.4</v>
      </c>
      <c r="L12" s="5">
        <f t="shared" si="3"/>
        <v>0</v>
      </c>
      <c r="M12" s="5">
        <f t="shared" si="3"/>
        <v>-0.4</v>
      </c>
      <c r="N12" s="5">
        <f t="shared" si="3"/>
        <v>0</v>
      </c>
      <c r="O12" s="5">
        <f t="shared" si="3"/>
        <v>-6.6666666666666693E-2</v>
      </c>
    </row>
    <row r="13" spans="1:15" ht="14.4">
      <c r="A13" s="5">
        <f t="shared" ref="A13:G13" si="4">IF($A$5&lt;0,A11*-$A$5+A5,IF($A$5&gt;0,A11*-$A$5+A5,IF($A$5=0,A5)))</f>
        <v>0</v>
      </c>
      <c r="B13" s="5">
        <f t="shared" si="4"/>
        <v>-1</v>
      </c>
      <c r="C13" s="5">
        <f t="shared" si="4"/>
        <v>4</v>
      </c>
      <c r="D13" s="5">
        <f t="shared" si="4"/>
        <v>0</v>
      </c>
      <c r="E13" s="5">
        <f t="shared" si="4"/>
        <v>0</v>
      </c>
      <c r="F13" s="5">
        <f t="shared" si="4"/>
        <v>-1</v>
      </c>
      <c r="G13" s="6">
        <f t="shared" si="4"/>
        <v>3</v>
      </c>
      <c r="I13" s="5">
        <f t="shared" ref="I13:O13" si="5">A29</f>
        <v>0</v>
      </c>
      <c r="J13" s="5">
        <f t="shared" si="5"/>
        <v>0</v>
      </c>
      <c r="K13" s="5">
        <f t="shared" si="5"/>
        <v>1</v>
      </c>
      <c r="L13" s="5">
        <f t="shared" si="5"/>
        <v>0</v>
      </c>
      <c r="M13" s="5">
        <f t="shared" si="5"/>
        <v>-0.11111111111111112</v>
      </c>
      <c r="N13" s="5">
        <f t="shared" si="5"/>
        <v>-0.27777777777777779</v>
      </c>
      <c r="O13" s="5">
        <f t="shared" si="5"/>
        <v>0.81481481481481477</v>
      </c>
    </row>
    <row r="14" spans="1:15" ht="14.4">
      <c r="A14" s="5">
        <f t="shared" ref="A14:G14" si="6">IF($A$6&lt;0,A11*-$A$6+A6,IF($A$6&gt;0,A11*-$A$6+A6,IF($A$6=0,A6)))</f>
        <v>0</v>
      </c>
      <c r="B14" s="5">
        <f t="shared" si="6"/>
        <v>0</v>
      </c>
      <c r="C14" s="5">
        <f t="shared" si="6"/>
        <v>0</v>
      </c>
      <c r="D14" s="5">
        <f t="shared" si="6"/>
        <v>2</v>
      </c>
      <c r="E14" s="5">
        <f t="shared" si="6"/>
        <v>-3</v>
      </c>
      <c r="F14" s="5">
        <f t="shared" si="6"/>
        <v>0</v>
      </c>
      <c r="G14" s="6">
        <f t="shared" si="6"/>
        <v>-1.3333333333333333</v>
      </c>
      <c r="I14" s="5">
        <f t="shared" ref="I14:K14" si="7">A30</f>
        <v>0</v>
      </c>
      <c r="J14" s="5">
        <f t="shared" si="7"/>
        <v>0</v>
      </c>
      <c r="K14" s="5">
        <f t="shared" si="7"/>
        <v>0</v>
      </c>
      <c r="L14" s="5">
        <f t="shared" ref="L14:O14" si="8">IF($D$30=1,D30,D30/$D$30)</f>
        <v>1</v>
      </c>
      <c r="M14" s="5">
        <f t="shared" si="8"/>
        <v>-1.5</v>
      </c>
      <c r="N14" s="5">
        <f t="shared" si="8"/>
        <v>0</v>
      </c>
      <c r="O14" s="5">
        <f t="shared" si="8"/>
        <v>-0.66666666666666663</v>
      </c>
    </row>
    <row r="15" spans="1:15" ht="14.4">
      <c r="A15" s="5">
        <f t="shared" ref="A15:G15" si="9">IF($A$7&lt;0,A11*-$A$7+A7,IF($A$7&gt;0,A11*-$A$7+A7,IF($A$7=0,A7)))</f>
        <v>0</v>
      </c>
      <c r="B15" s="5">
        <f t="shared" si="9"/>
        <v>-1</v>
      </c>
      <c r="C15" s="5">
        <f t="shared" si="9"/>
        <v>0</v>
      </c>
      <c r="D15" s="5">
        <f t="shared" si="9"/>
        <v>-1</v>
      </c>
      <c r="E15" s="5">
        <f t="shared" si="9"/>
        <v>4</v>
      </c>
      <c r="F15" s="5">
        <f t="shared" si="9"/>
        <v>-1</v>
      </c>
      <c r="G15" s="6">
        <f t="shared" si="9"/>
        <v>-0.33333333333333331</v>
      </c>
      <c r="I15" s="5">
        <f t="shared" ref="I15:K15" si="10">A31</f>
        <v>0</v>
      </c>
      <c r="J15" s="5">
        <f t="shared" si="10"/>
        <v>0</v>
      </c>
      <c r="K15" s="5">
        <f t="shared" si="10"/>
        <v>0</v>
      </c>
      <c r="L15" s="5">
        <f t="shared" ref="L15:O15" si="11">IF($D$31&lt;0,L14*-$D$31+D31,IF($D$31&gt;0,L14*-$D$31+D31,IF($D$31=0,D31)))</f>
        <v>0</v>
      </c>
      <c r="M15" s="5">
        <f t="shared" si="11"/>
        <v>2.0555555555555558</v>
      </c>
      <c r="N15" s="5">
        <f t="shared" si="11"/>
        <v>-1.1111111111111112</v>
      </c>
      <c r="O15" s="6">
        <f t="shared" si="11"/>
        <v>-0.7407407407407407</v>
      </c>
    </row>
    <row r="16" spans="1:15" ht="14.4">
      <c r="A16" s="5">
        <f t="shared" ref="A16:G16" si="12">IF($A$8&lt;0,A11*-$A$8+A8,IF($A$8&gt;0,A11*-$A$8+A8,IF($A$8=0,A8)))</f>
        <v>0</v>
      </c>
      <c r="B16" s="5">
        <f t="shared" si="12"/>
        <v>0</v>
      </c>
      <c r="C16" s="5">
        <f t="shared" si="12"/>
        <v>-1</v>
      </c>
      <c r="D16" s="5">
        <f t="shared" si="12"/>
        <v>0</v>
      </c>
      <c r="E16" s="5">
        <f t="shared" si="12"/>
        <v>-1</v>
      </c>
      <c r="F16" s="5">
        <f t="shared" si="12"/>
        <v>4</v>
      </c>
      <c r="G16" s="6">
        <f t="shared" si="12"/>
        <v>1.6666666666666667</v>
      </c>
      <c r="I16" s="5">
        <f t="shared" ref="I16:K16" si="13">A32</f>
        <v>0</v>
      </c>
      <c r="J16" s="5">
        <f t="shared" si="13"/>
        <v>0</v>
      </c>
      <c r="K16" s="5">
        <f t="shared" si="13"/>
        <v>0</v>
      </c>
      <c r="L16" s="5">
        <f t="shared" ref="L16:O16" si="14">IF($D$32&lt;0,L14*-$D$32+D32,IF($D$32&gt;0,L14*-$D$32+D32,IF($D$32=0,D32)))</f>
        <v>0</v>
      </c>
      <c r="M16" s="5">
        <f t="shared" si="14"/>
        <v>-1.1111111111111112</v>
      </c>
      <c r="N16" s="5">
        <f t="shared" si="14"/>
        <v>3.7222222222222223</v>
      </c>
      <c r="O16" s="6">
        <f t="shared" si="14"/>
        <v>2.4814814814814814</v>
      </c>
    </row>
    <row r="18" spans="1:15" ht="14.4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6</v>
      </c>
      <c r="G18" s="1" t="s">
        <v>7</v>
      </c>
      <c r="I18" s="1" t="s">
        <v>1</v>
      </c>
      <c r="J18" s="1" t="s">
        <v>2</v>
      </c>
      <c r="K18" s="1" t="s">
        <v>3</v>
      </c>
      <c r="L18" s="1" t="s">
        <v>4</v>
      </c>
      <c r="M18" s="1" t="s">
        <v>5</v>
      </c>
      <c r="N18" s="1" t="s">
        <v>6</v>
      </c>
      <c r="O18" s="1" t="s">
        <v>7</v>
      </c>
    </row>
    <row r="19" spans="1:15" ht="14.4">
      <c r="A19" s="5">
        <f t="shared" ref="A19:G19" si="15">A11</f>
        <v>1</v>
      </c>
      <c r="B19" s="5">
        <f t="shared" si="15"/>
        <v>-1.5</v>
      </c>
      <c r="C19" s="5">
        <f t="shared" si="15"/>
        <v>0</v>
      </c>
      <c r="D19" s="5">
        <f t="shared" si="15"/>
        <v>0</v>
      </c>
      <c r="E19" s="5">
        <f t="shared" si="15"/>
        <v>0</v>
      </c>
      <c r="F19" s="5">
        <f t="shared" si="15"/>
        <v>0</v>
      </c>
      <c r="G19" s="5">
        <f t="shared" si="15"/>
        <v>-0.83333333333333337</v>
      </c>
      <c r="I19" s="5">
        <f t="shared" ref="I19:O19" si="16">I11</f>
        <v>1</v>
      </c>
      <c r="J19" s="5">
        <f t="shared" si="16"/>
        <v>-1.5</v>
      </c>
      <c r="K19" s="5">
        <f t="shared" si="16"/>
        <v>0</v>
      </c>
      <c r="L19" s="5">
        <f t="shared" si="16"/>
        <v>0</v>
      </c>
      <c r="M19" s="5">
        <f t="shared" si="16"/>
        <v>0</v>
      </c>
      <c r="N19" s="5">
        <f t="shared" si="16"/>
        <v>0</v>
      </c>
      <c r="O19" s="5">
        <f t="shared" si="16"/>
        <v>-0.83333333333333337</v>
      </c>
    </row>
    <row r="20" spans="1:15" ht="14.4">
      <c r="A20" s="5">
        <f t="shared" ref="A20:A24" si="17">A12</f>
        <v>0</v>
      </c>
      <c r="B20" s="5">
        <f t="shared" ref="B20:G20" si="18">IF($B$12=1,B12,B12/$B$12)</f>
        <v>1</v>
      </c>
      <c r="C20" s="5">
        <f t="shared" si="18"/>
        <v>-0.4</v>
      </c>
      <c r="D20" s="5">
        <f t="shared" si="18"/>
        <v>0</v>
      </c>
      <c r="E20" s="5">
        <f t="shared" si="18"/>
        <v>-0.4</v>
      </c>
      <c r="F20" s="5">
        <f t="shared" si="18"/>
        <v>0</v>
      </c>
      <c r="G20" s="5">
        <f t="shared" si="18"/>
        <v>-6.6666666666666693E-2</v>
      </c>
      <c r="I20" s="5">
        <f t="shared" ref="I20:O20" si="19">I12</f>
        <v>0</v>
      </c>
      <c r="J20" s="5">
        <f t="shared" si="19"/>
        <v>1</v>
      </c>
      <c r="K20" s="5">
        <f t="shared" si="19"/>
        <v>-0.4</v>
      </c>
      <c r="L20" s="5">
        <f t="shared" si="19"/>
        <v>0</v>
      </c>
      <c r="M20" s="5">
        <f t="shared" si="19"/>
        <v>-0.4</v>
      </c>
      <c r="N20" s="5">
        <f t="shared" si="19"/>
        <v>0</v>
      </c>
      <c r="O20" s="5">
        <f t="shared" si="19"/>
        <v>-6.6666666666666693E-2</v>
      </c>
    </row>
    <row r="21" spans="1:15" ht="15.75" customHeight="1">
      <c r="A21" s="5">
        <f t="shared" si="17"/>
        <v>0</v>
      </c>
      <c r="B21" s="5">
        <f t="shared" ref="B21:G21" si="20">IF($B$13&lt;0,B20*-$B$13+B13,IF($B$13&gt;0,B20*-$B$13+B13,IF($B$13=0,B13)))</f>
        <v>0</v>
      </c>
      <c r="C21" s="5">
        <f t="shared" si="20"/>
        <v>3.6</v>
      </c>
      <c r="D21" s="5">
        <f t="shared" si="20"/>
        <v>0</v>
      </c>
      <c r="E21" s="5">
        <f t="shared" si="20"/>
        <v>-0.4</v>
      </c>
      <c r="F21" s="5">
        <f t="shared" si="20"/>
        <v>-1</v>
      </c>
      <c r="G21" s="6">
        <f t="shared" si="20"/>
        <v>2.9333333333333331</v>
      </c>
      <c r="I21" s="5">
        <f t="shared" ref="I21:O21" si="21">I13</f>
        <v>0</v>
      </c>
      <c r="J21" s="5">
        <f t="shared" si="21"/>
        <v>0</v>
      </c>
      <c r="K21" s="5">
        <f t="shared" si="21"/>
        <v>1</v>
      </c>
      <c r="L21" s="5">
        <f t="shared" si="21"/>
        <v>0</v>
      </c>
      <c r="M21" s="5">
        <f t="shared" si="21"/>
        <v>-0.11111111111111112</v>
      </c>
      <c r="N21" s="5">
        <f t="shared" si="21"/>
        <v>-0.27777777777777779</v>
      </c>
      <c r="O21" s="5">
        <f t="shared" si="21"/>
        <v>0.81481481481481477</v>
      </c>
    </row>
    <row r="22" spans="1:15" ht="15.75" customHeight="1">
      <c r="A22" s="5">
        <f t="shared" si="17"/>
        <v>0</v>
      </c>
      <c r="B22" s="5">
        <f t="shared" ref="B22:G22" si="22">IF($B$14&lt;0,B20*-$B$14+B14,IF($B$14&gt;0,B20*-$B$14+B14,IF($B$14=0,B14)))</f>
        <v>0</v>
      </c>
      <c r="C22" s="5">
        <f t="shared" si="22"/>
        <v>0</v>
      </c>
      <c r="D22" s="5">
        <f t="shared" si="22"/>
        <v>2</v>
      </c>
      <c r="E22" s="5">
        <f t="shared" si="22"/>
        <v>-3</v>
      </c>
      <c r="F22" s="5">
        <f t="shared" si="22"/>
        <v>0</v>
      </c>
      <c r="G22" s="6">
        <f t="shared" si="22"/>
        <v>-1.3333333333333333</v>
      </c>
      <c r="I22" s="5">
        <f t="shared" ref="I22:O22" si="23">I14</f>
        <v>0</v>
      </c>
      <c r="J22" s="5">
        <f t="shared" si="23"/>
        <v>0</v>
      </c>
      <c r="K22" s="5">
        <f t="shared" si="23"/>
        <v>0</v>
      </c>
      <c r="L22" s="5">
        <f t="shared" si="23"/>
        <v>1</v>
      </c>
      <c r="M22" s="5">
        <f t="shared" si="23"/>
        <v>-1.5</v>
      </c>
      <c r="N22" s="5">
        <f t="shared" si="23"/>
        <v>0</v>
      </c>
      <c r="O22" s="5">
        <f t="shared" si="23"/>
        <v>-0.66666666666666663</v>
      </c>
    </row>
    <row r="23" spans="1:15" ht="15.75" customHeight="1">
      <c r="A23" s="5">
        <f t="shared" si="17"/>
        <v>0</v>
      </c>
      <c r="B23" s="5">
        <f t="shared" ref="B23:G23" si="24">IF($B$15&lt;0,B20*-$B$15+B15,IF($B$15&gt;0,B20*-$B$15+B15,IF($B$15=0,B15)))</f>
        <v>0</v>
      </c>
      <c r="C23" s="5">
        <f t="shared" si="24"/>
        <v>-0.4</v>
      </c>
      <c r="D23" s="5">
        <f t="shared" si="24"/>
        <v>-1</v>
      </c>
      <c r="E23" s="5">
        <f t="shared" si="24"/>
        <v>3.6</v>
      </c>
      <c r="F23" s="5">
        <f t="shared" si="24"/>
        <v>-1</v>
      </c>
      <c r="G23" s="6">
        <f t="shared" si="24"/>
        <v>-0.4</v>
      </c>
      <c r="I23" s="5">
        <f t="shared" ref="I23:L23" si="25">I15</f>
        <v>0</v>
      </c>
      <c r="J23" s="5">
        <f t="shared" si="25"/>
        <v>0</v>
      </c>
      <c r="K23" s="5">
        <f t="shared" si="25"/>
        <v>0</v>
      </c>
      <c r="L23" s="5">
        <f t="shared" si="25"/>
        <v>0</v>
      </c>
      <c r="M23" s="5">
        <f t="shared" ref="M23:O23" si="26">IF($M$15=1,M15,M15/$M$15)</f>
        <v>1</v>
      </c>
      <c r="N23" s="5">
        <f t="shared" si="26"/>
        <v>-0.54054054054054046</v>
      </c>
      <c r="O23" s="5">
        <f t="shared" si="26"/>
        <v>-0.36036036036036029</v>
      </c>
    </row>
    <row r="24" spans="1:15" ht="15.75" customHeight="1">
      <c r="A24" s="5">
        <f t="shared" si="17"/>
        <v>0</v>
      </c>
      <c r="B24" s="5">
        <f t="shared" ref="B24:G24" si="27">IF($B$16&lt;0,B20*-$B$16+B16,IF($B$16&gt;0,B20*-$B$16+B16,IF($B$16=0,B16)))</f>
        <v>0</v>
      </c>
      <c r="C24" s="5">
        <f t="shared" si="27"/>
        <v>-1</v>
      </c>
      <c r="D24" s="5">
        <f t="shared" si="27"/>
        <v>0</v>
      </c>
      <c r="E24" s="5">
        <f t="shared" si="27"/>
        <v>-1</v>
      </c>
      <c r="F24" s="5">
        <f t="shared" si="27"/>
        <v>4</v>
      </c>
      <c r="G24" s="6">
        <f t="shared" si="27"/>
        <v>1.6666666666666667</v>
      </c>
      <c r="I24" s="5">
        <f t="shared" ref="I24:L24" si="28">I16</f>
        <v>0</v>
      </c>
      <c r="J24" s="5">
        <f t="shared" si="28"/>
        <v>0</v>
      </c>
      <c r="K24" s="5">
        <f t="shared" si="28"/>
        <v>0</v>
      </c>
      <c r="L24" s="5">
        <f t="shared" si="28"/>
        <v>0</v>
      </c>
      <c r="M24" s="5">
        <f t="shared" ref="M24:O24" si="29">IF($M$16&lt;0,M23*-$M$16+M16,IF($M$16&gt;0,M23*-$M$16+M16,IF($M$16=0,M16)))</f>
        <v>0</v>
      </c>
      <c r="N24" s="5">
        <f t="shared" si="29"/>
        <v>3.1216216216216219</v>
      </c>
      <c r="O24" s="6">
        <f t="shared" si="29"/>
        <v>2.0810810810810811</v>
      </c>
    </row>
    <row r="25" spans="1:15" ht="15.75" customHeight="1"/>
    <row r="26" spans="1:15" ht="15.75" customHeight="1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I26" s="1" t="s">
        <v>1</v>
      </c>
      <c r="J26" s="1" t="s">
        <v>2</v>
      </c>
      <c r="K26" s="1" t="s">
        <v>3</v>
      </c>
      <c r="L26" s="1" t="s">
        <v>4</v>
      </c>
      <c r="M26" s="1" t="s">
        <v>5</v>
      </c>
      <c r="N26" s="1" t="s">
        <v>6</v>
      </c>
      <c r="O26" s="1" t="s">
        <v>7</v>
      </c>
    </row>
    <row r="27" spans="1:15" ht="15.75" customHeight="1">
      <c r="A27" s="5">
        <f t="shared" ref="A27:G27" si="30">A19</f>
        <v>1</v>
      </c>
      <c r="B27" s="5">
        <f t="shared" si="30"/>
        <v>-1.5</v>
      </c>
      <c r="C27" s="5">
        <f t="shared" si="30"/>
        <v>0</v>
      </c>
      <c r="D27" s="5">
        <f t="shared" si="30"/>
        <v>0</v>
      </c>
      <c r="E27" s="5">
        <f t="shared" si="30"/>
        <v>0</v>
      </c>
      <c r="F27" s="5">
        <f t="shared" si="30"/>
        <v>0</v>
      </c>
      <c r="G27" s="5">
        <f t="shared" si="30"/>
        <v>-0.83333333333333337</v>
      </c>
      <c r="I27" s="5">
        <f t="shared" ref="I27:O27" si="31">I19</f>
        <v>1</v>
      </c>
      <c r="J27" s="5">
        <f t="shared" si="31"/>
        <v>-1.5</v>
      </c>
      <c r="K27" s="5">
        <f t="shared" si="31"/>
        <v>0</v>
      </c>
      <c r="L27" s="5">
        <f t="shared" si="31"/>
        <v>0</v>
      </c>
      <c r="M27" s="5">
        <f t="shared" si="31"/>
        <v>0</v>
      </c>
      <c r="N27" s="5">
        <f t="shared" si="31"/>
        <v>0</v>
      </c>
      <c r="O27" s="5">
        <f t="shared" si="31"/>
        <v>-0.83333333333333337</v>
      </c>
    </row>
    <row r="28" spans="1:15" ht="15.75" customHeight="1">
      <c r="A28" s="5">
        <f t="shared" ref="A28:G28" si="32">A20</f>
        <v>0</v>
      </c>
      <c r="B28" s="5">
        <f t="shared" si="32"/>
        <v>1</v>
      </c>
      <c r="C28" s="5">
        <f t="shared" si="32"/>
        <v>-0.4</v>
      </c>
      <c r="D28" s="5">
        <f t="shared" si="32"/>
        <v>0</v>
      </c>
      <c r="E28" s="5">
        <f t="shared" si="32"/>
        <v>-0.4</v>
      </c>
      <c r="F28" s="5">
        <f t="shared" si="32"/>
        <v>0</v>
      </c>
      <c r="G28" s="5">
        <f t="shared" si="32"/>
        <v>-6.6666666666666693E-2</v>
      </c>
      <c r="I28" s="5">
        <f t="shared" ref="I28:O28" si="33">I20</f>
        <v>0</v>
      </c>
      <c r="J28" s="5">
        <f t="shared" si="33"/>
        <v>1</v>
      </c>
      <c r="K28" s="5">
        <f t="shared" si="33"/>
        <v>-0.4</v>
      </c>
      <c r="L28" s="5">
        <f t="shared" si="33"/>
        <v>0</v>
      </c>
      <c r="M28" s="5">
        <f t="shared" si="33"/>
        <v>-0.4</v>
      </c>
      <c r="N28" s="5">
        <f t="shared" si="33"/>
        <v>0</v>
      </c>
      <c r="O28" s="5">
        <f t="shared" si="33"/>
        <v>-6.6666666666666693E-2</v>
      </c>
    </row>
    <row r="29" spans="1:15" ht="15.75" customHeight="1">
      <c r="A29" s="5">
        <f t="shared" ref="A29:B29" si="34">A21</f>
        <v>0</v>
      </c>
      <c r="B29" s="5">
        <f t="shared" si="34"/>
        <v>0</v>
      </c>
      <c r="C29" s="5">
        <f t="shared" ref="C29:G29" si="35">IF($C$21=1,C21,C21/$C$21)</f>
        <v>1</v>
      </c>
      <c r="D29" s="5">
        <f t="shared" si="35"/>
        <v>0</v>
      </c>
      <c r="E29" s="5">
        <f t="shared" si="35"/>
        <v>-0.11111111111111112</v>
      </c>
      <c r="F29" s="5">
        <f t="shared" si="35"/>
        <v>-0.27777777777777779</v>
      </c>
      <c r="G29" s="5">
        <f t="shared" si="35"/>
        <v>0.81481481481481477</v>
      </c>
      <c r="I29" s="5">
        <f t="shared" ref="I29:O29" si="36">I21</f>
        <v>0</v>
      </c>
      <c r="J29" s="5">
        <f t="shared" si="36"/>
        <v>0</v>
      </c>
      <c r="K29" s="5">
        <f t="shared" si="36"/>
        <v>1</v>
      </c>
      <c r="L29" s="5">
        <f t="shared" si="36"/>
        <v>0</v>
      </c>
      <c r="M29" s="5">
        <f t="shared" si="36"/>
        <v>-0.11111111111111112</v>
      </c>
      <c r="N29" s="5">
        <f t="shared" si="36"/>
        <v>-0.27777777777777779</v>
      </c>
      <c r="O29" s="5">
        <f t="shared" si="36"/>
        <v>0.81481481481481477</v>
      </c>
    </row>
    <row r="30" spans="1:15" ht="15.75" customHeight="1">
      <c r="A30" s="5">
        <f t="shared" ref="A30:B30" si="37">A22</f>
        <v>0</v>
      </c>
      <c r="B30" s="5">
        <f t="shared" si="37"/>
        <v>0</v>
      </c>
      <c r="C30" s="5">
        <f t="shared" ref="C30:G30" si="38">IF($C$22&lt;0,C29*-$C$22+C22,IF($C$22&gt;0,C29*-$C$22+C22,IF($C$22=0,C22)))</f>
        <v>0</v>
      </c>
      <c r="D30" s="5">
        <f t="shared" si="38"/>
        <v>2</v>
      </c>
      <c r="E30" s="5">
        <f t="shared" si="38"/>
        <v>-3</v>
      </c>
      <c r="F30" s="5">
        <f t="shared" si="38"/>
        <v>0</v>
      </c>
      <c r="G30" s="6">
        <f t="shared" si="38"/>
        <v>-1.3333333333333333</v>
      </c>
      <c r="I30" s="5">
        <f t="shared" ref="I30:O30" si="39">I22</f>
        <v>0</v>
      </c>
      <c r="J30" s="5">
        <f t="shared" si="39"/>
        <v>0</v>
      </c>
      <c r="K30" s="5">
        <f t="shared" si="39"/>
        <v>0</v>
      </c>
      <c r="L30" s="5">
        <f t="shared" si="39"/>
        <v>1</v>
      </c>
      <c r="M30" s="5">
        <f t="shared" si="39"/>
        <v>-1.5</v>
      </c>
      <c r="N30" s="5">
        <f t="shared" si="39"/>
        <v>0</v>
      </c>
      <c r="O30" s="5">
        <f t="shared" si="39"/>
        <v>-0.66666666666666663</v>
      </c>
    </row>
    <row r="31" spans="1:15" ht="15.75" customHeight="1">
      <c r="A31" s="5">
        <f t="shared" ref="A31:B31" si="40">A23</f>
        <v>0</v>
      </c>
      <c r="B31" s="5">
        <f t="shared" si="40"/>
        <v>0</v>
      </c>
      <c r="C31" s="5">
        <f t="shared" ref="C31:G31" si="41">IF($C$23&lt;0,C29*-$C$23+C23,IF($C$23&gt;0,C29*-$C$23+C23,IF($C$23=0,C23)))</f>
        <v>0</v>
      </c>
      <c r="D31" s="5">
        <f t="shared" si="41"/>
        <v>-1</v>
      </c>
      <c r="E31" s="5">
        <f t="shared" si="41"/>
        <v>3.5555555555555558</v>
      </c>
      <c r="F31" s="5">
        <f t="shared" si="41"/>
        <v>-1.1111111111111112</v>
      </c>
      <c r="G31" s="6">
        <f t="shared" si="41"/>
        <v>-7.407407407407407E-2</v>
      </c>
      <c r="I31" s="5">
        <f t="shared" ref="I31:O31" si="42">I23</f>
        <v>0</v>
      </c>
      <c r="J31" s="5">
        <f t="shared" si="42"/>
        <v>0</v>
      </c>
      <c r="K31" s="5">
        <f t="shared" si="42"/>
        <v>0</v>
      </c>
      <c r="L31" s="5">
        <f t="shared" si="42"/>
        <v>0</v>
      </c>
      <c r="M31" s="5">
        <f t="shared" si="42"/>
        <v>1</v>
      </c>
      <c r="N31" s="5">
        <f t="shared" si="42"/>
        <v>-0.54054054054054046</v>
      </c>
      <c r="O31" s="5">
        <f t="shared" si="42"/>
        <v>-0.36036036036036029</v>
      </c>
    </row>
    <row r="32" spans="1:15" ht="15.75" customHeight="1">
      <c r="A32" s="5">
        <f t="shared" ref="A32:B32" si="43">A24</f>
        <v>0</v>
      </c>
      <c r="B32" s="5">
        <f t="shared" si="43"/>
        <v>0</v>
      </c>
      <c r="C32" s="5">
        <f t="shared" ref="C32:G32" si="44">IF($C$24&lt;0,C29*-$C$24+C24,IF($C$24&gt;0,C29*-$C$24+C24,IF($C$24=0,C24)))</f>
        <v>0</v>
      </c>
      <c r="D32" s="5">
        <f t="shared" si="44"/>
        <v>0</v>
      </c>
      <c r="E32" s="5">
        <f t="shared" si="44"/>
        <v>-1.1111111111111112</v>
      </c>
      <c r="F32" s="5">
        <f t="shared" si="44"/>
        <v>3.7222222222222223</v>
      </c>
      <c r="G32" s="6">
        <f t="shared" si="44"/>
        <v>2.4814814814814814</v>
      </c>
      <c r="I32" s="5">
        <f t="shared" ref="I32:M32" si="45">I24</f>
        <v>0</v>
      </c>
      <c r="J32" s="5">
        <f t="shared" si="45"/>
        <v>0</v>
      </c>
      <c r="K32" s="5">
        <f t="shared" si="45"/>
        <v>0</v>
      </c>
      <c r="L32" s="5">
        <f t="shared" si="45"/>
        <v>0</v>
      </c>
      <c r="M32" s="5">
        <f t="shared" si="45"/>
        <v>0</v>
      </c>
      <c r="N32" s="5">
        <f t="shared" ref="N32:O32" si="46">IF($N$24=1,N24,N24/$N$24)</f>
        <v>1</v>
      </c>
      <c r="O32" s="5">
        <f t="shared" si="46"/>
        <v>0.66666666666666663</v>
      </c>
    </row>
    <row r="33" spans="2:11" ht="15.75" customHeight="1"/>
    <row r="34" spans="2:11" ht="15.75" customHeight="1"/>
    <row r="35" spans="2:11" ht="15.75" customHeight="1"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J35" s="30" t="s">
        <v>8</v>
      </c>
      <c r="K35" s="31"/>
    </row>
    <row r="36" spans="2:11" ht="15.75" customHeight="1">
      <c r="B36" s="5">
        <f t="shared" ref="B36:H36" si="47">I27</f>
        <v>1</v>
      </c>
      <c r="C36" s="5">
        <f t="shared" si="47"/>
        <v>-1.5</v>
      </c>
      <c r="D36" s="5">
        <f t="shared" si="47"/>
        <v>0</v>
      </c>
      <c r="E36" s="5">
        <f t="shared" si="47"/>
        <v>0</v>
      </c>
      <c r="F36" s="5">
        <f t="shared" si="47"/>
        <v>0</v>
      </c>
      <c r="G36" s="5">
        <f t="shared" si="47"/>
        <v>0</v>
      </c>
      <c r="H36" s="5">
        <f t="shared" si="47"/>
        <v>-0.83333333333333337</v>
      </c>
      <c r="J36" s="7" t="s">
        <v>1</v>
      </c>
      <c r="K36" s="5">
        <f>H36+(-G36*K41)+(-F36*K40)+(-E36*K39)+(-D36*K38)+(-C36*K37)</f>
        <v>-0.33333333333333337</v>
      </c>
    </row>
    <row r="37" spans="2:11" ht="15.75" customHeight="1">
      <c r="C37" s="5">
        <f t="shared" ref="C37:H37" si="48">J28</f>
        <v>1</v>
      </c>
      <c r="D37" s="5">
        <f t="shared" si="48"/>
        <v>-0.4</v>
      </c>
      <c r="E37" s="5">
        <f t="shared" si="48"/>
        <v>0</v>
      </c>
      <c r="F37" s="5">
        <f t="shared" si="48"/>
        <v>-0.4</v>
      </c>
      <c r="G37" s="5">
        <f t="shared" si="48"/>
        <v>0</v>
      </c>
      <c r="H37" s="5">
        <f t="shared" si="48"/>
        <v>-6.6666666666666693E-2</v>
      </c>
      <c r="J37" s="7" t="s">
        <v>2</v>
      </c>
      <c r="K37" s="5">
        <f>H37+(-G37*K41)+(-F37*K40)+(-E37*K39)+(-D37*K38)</f>
        <v>0.33333333333333331</v>
      </c>
    </row>
    <row r="38" spans="2:11" ht="15.75" customHeight="1">
      <c r="D38" s="5">
        <f t="shared" ref="D38:H38" si="49">K29</f>
        <v>1</v>
      </c>
      <c r="E38" s="5">
        <f t="shared" si="49"/>
        <v>0</v>
      </c>
      <c r="F38" s="5">
        <f t="shared" si="49"/>
        <v>-0.11111111111111112</v>
      </c>
      <c r="G38" s="5">
        <f t="shared" si="49"/>
        <v>-0.27777777777777779</v>
      </c>
      <c r="H38" s="5">
        <f t="shared" si="49"/>
        <v>0.81481481481481477</v>
      </c>
      <c r="J38" s="7" t="s">
        <v>3</v>
      </c>
      <c r="K38" s="5">
        <f>H38+(-G38*K41)+(-F38*K40)+(-E38*K39)</f>
        <v>1</v>
      </c>
    </row>
    <row r="39" spans="2:11" ht="15.75" customHeight="1">
      <c r="E39" s="5">
        <f t="shared" ref="E39:H39" si="50">L30</f>
        <v>1</v>
      </c>
      <c r="F39" s="5">
        <f t="shared" si="50"/>
        <v>-1.5</v>
      </c>
      <c r="G39" s="5">
        <f t="shared" si="50"/>
        <v>0</v>
      </c>
      <c r="H39" s="5">
        <f t="shared" si="50"/>
        <v>-0.66666666666666663</v>
      </c>
      <c r="J39" s="7" t="s">
        <v>4</v>
      </c>
      <c r="K39" s="5">
        <f>H39+(-G39*K41)+(-F39*K40)</f>
        <v>-0.66666666666666663</v>
      </c>
    </row>
    <row r="40" spans="2:11" ht="15.75" customHeight="1">
      <c r="F40" s="5">
        <f t="shared" ref="F40:H40" si="51">M31</f>
        <v>1</v>
      </c>
      <c r="G40" s="5">
        <f t="shared" si="51"/>
        <v>-0.54054054054054046</v>
      </c>
      <c r="H40" s="5">
        <f t="shared" si="51"/>
        <v>-0.36036036036036029</v>
      </c>
      <c r="J40" s="7" t="s">
        <v>5</v>
      </c>
      <c r="K40" s="5">
        <f>H40+(-G40*K41)</f>
        <v>0</v>
      </c>
    </row>
    <row r="41" spans="2:11" ht="15.75" customHeight="1">
      <c r="G41" s="5">
        <f t="shared" ref="G41:H41" si="52">N32</f>
        <v>1</v>
      </c>
      <c r="H41" s="5">
        <f t="shared" si="52"/>
        <v>0.66666666666666663</v>
      </c>
      <c r="J41" s="7" t="s">
        <v>6</v>
      </c>
      <c r="K41" s="5">
        <f>H41</f>
        <v>0.66666666666666663</v>
      </c>
    </row>
    <row r="42" spans="2:11" ht="15.75" customHeight="1"/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J35:K3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opLeftCell="A40" workbookViewId="0">
      <selection activeCell="J34" sqref="J34"/>
    </sheetView>
  </sheetViews>
  <sheetFormatPr baseColWidth="10" defaultColWidth="14.44140625" defaultRowHeight="15" customHeight="1"/>
  <cols>
    <col min="1" max="16" width="10.6640625" customWidth="1"/>
    <col min="17" max="17" width="10" customWidth="1"/>
    <col min="18" max="18" width="14" customWidth="1"/>
    <col min="19" max="26" width="10.6640625" customWidth="1"/>
  </cols>
  <sheetData>
    <row r="1" spans="1:18" ht="14.4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I1" s="8" t="s">
        <v>1</v>
      </c>
      <c r="J1" s="8" t="s">
        <v>2</v>
      </c>
      <c r="K1" s="8" t="s">
        <v>3</v>
      </c>
      <c r="L1" s="8" t="s">
        <v>4</v>
      </c>
      <c r="M1" s="8" t="s">
        <v>5</v>
      </c>
      <c r="N1" s="8" t="s">
        <v>6</v>
      </c>
      <c r="O1" s="9" t="s">
        <v>7</v>
      </c>
      <c r="Q1" s="32" t="s">
        <v>9</v>
      </c>
      <c r="R1" s="31"/>
    </row>
    <row r="2" spans="1:18" ht="14.4">
      <c r="A2" s="5">
        <f t="array" ref="A2:G7">'Sistema de Ecuaciones'!A3:G8</f>
        <v>2</v>
      </c>
      <c r="B2" s="5">
        <v>-3</v>
      </c>
      <c r="C2" s="5">
        <v>0</v>
      </c>
      <c r="D2" s="5">
        <v>0</v>
      </c>
      <c r="E2" s="5">
        <v>0</v>
      </c>
      <c r="F2" s="5">
        <v>0</v>
      </c>
      <c r="G2" s="6">
        <v>-1.6666666666666667</v>
      </c>
      <c r="I2" s="5">
        <f t="shared" ref="I2:M2" si="0">A58</f>
        <v>1</v>
      </c>
      <c r="J2" s="5">
        <f t="shared" si="0"/>
        <v>-1.5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ref="N2:N6" si="1">IF(F58=0,F58,F58+(F58*(-$N$7)))</f>
        <v>0</v>
      </c>
      <c r="O2" s="5">
        <f t="shared" ref="O2:O6" si="2">IF(F58=0,G58,G58+(F58*(-$O$7)))</f>
        <v>-0.83333333333333337</v>
      </c>
      <c r="Q2" s="10" t="s">
        <v>1</v>
      </c>
      <c r="R2" s="11">
        <f t="shared" ref="R2:R7" si="3">O34</f>
        <v>-0.33333333333333337</v>
      </c>
    </row>
    <row r="3" spans="1:18" ht="14.4">
      <c r="A3" s="5">
        <v>-1</v>
      </c>
      <c r="B3" s="5">
        <v>4</v>
      </c>
      <c r="C3" s="5">
        <v>-1</v>
      </c>
      <c r="D3" s="5">
        <v>0</v>
      </c>
      <c r="E3" s="5">
        <v>-1</v>
      </c>
      <c r="F3" s="5">
        <v>0</v>
      </c>
      <c r="G3" s="6">
        <v>0.66666666666666663</v>
      </c>
      <c r="I3" s="5">
        <f t="shared" ref="I3:M3" si="4">A59</f>
        <v>0</v>
      </c>
      <c r="J3" s="5">
        <f t="shared" si="4"/>
        <v>1</v>
      </c>
      <c r="K3" s="5">
        <f t="shared" si="4"/>
        <v>-0.4</v>
      </c>
      <c r="L3" s="5">
        <f t="shared" si="4"/>
        <v>0</v>
      </c>
      <c r="M3" s="5">
        <f t="shared" si="4"/>
        <v>-0.4</v>
      </c>
      <c r="N3" s="5">
        <f t="shared" si="1"/>
        <v>0</v>
      </c>
      <c r="O3" s="5">
        <f t="shared" si="2"/>
        <v>-6.6666666666666693E-2</v>
      </c>
      <c r="Q3" s="10" t="s">
        <v>2</v>
      </c>
      <c r="R3" s="11">
        <f t="shared" si="3"/>
        <v>0.33333333333333331</v>
      </c>
    </row>
    <row r="4" spans="1:18" ht="14.4">
      <c r="A4" s="5">
        <v>0</v>
      </c>
      <c r="B4" s="5">
        <v>-1</v>
      </c>
      <c r="C4" s="5">
        <v>4</v>
      </c>
      <c r="D4" s="5">
        <v>0</v>
      </c>
      <c r="E4" s="5">
        <v>0</v>
      </c>
      <c r="F4" s="5">
        <v>-1</v>
      </c>
      <c r="G4" s="6">
        <v>3</v>
      </c>
      <c r="I4" s="5">
        <f t="shared" ref="I4:M4" si="5">A60</f>
        <v>0</v>
      </c>
      <c r="J4" s="5">
        <f t="shared" si="5"/>
        <v>0</v>
      </c>
      <c r="K4" s="5">
        <f t="shared" si="5"/>
        <v>1</v>
      </c>
      <c r="L4" s="5">
        <f t="shared" si="5"/>
        <v>0</v>
      </c>
      <c r="M4" s="5">
        <f t="shared" si="5"/>
        <v>-0.11111111111111112</v>
      </c>
      <c r="N4" s="5">
        <f t="shared" si="1"/>
        <v>0</v>
      </c>
      <c r="O4" s="5">
        <f t="shared" si="2"/>
        <v>1</v>
      </c>
      <c r="Q4" s="10" t="s">
        <v>3</v>
      </c>
      <c r="R4" s="11">
        <f t="shared" si="3"/>
        <v>1</v>
      </c>
    </row>
    <row r="5" spans="1:18" ht="14.4">
      <c r="A5" s="5">
        <v>0</v>
      </c>
      <c r="B5" s="5">
        <v>0</v>
      </c>
      <c r="C5" s="5">
        <v>0</v>
      </c>
      <c r="D5" s="5">
        <v>2</v>
      </c>
      <c r="E5" s="5">
        <v>-3</v>
      </c>
      <c r="F5" s="5">
        <v>0</v>
      </c>
      <c r="G5" s="6">
        <v>-1.3333333333333333</v>
      </c>
      <c r="I5" s="5">
        <f t="shared" ref="I5:M5" si="6">A61</f>
        <v>0</v>
      </c>
      <c r="J5" s="5">
        <f t="shared" si="6"/>
        <v>0</v>
      </c>
      <c r="K5" s="5">
        <f t="shared" si="6"/>
        <v>0</v>
      </c>
      <c r="L5" s="5">
        <f t="shared" si="6"/>
        <v>1</v>
      </c>
      <c r="M5" s="5">
        <f t="shared" si="6"/>
        <v>-1.5</v>
      </c>
      <c r="N5" s="5">
        <f t="shared" si="1"/>
        <v>0</v>
      </c>
      <c r="O5" s="5">
        <f t="shared" si="2"/>
        <v>-0.66666666666666663</v>
      </c>
      <c r="Q5" s="10" t="s">
        <v>4</v>
      </c>
      <c r="R5" s="11">
        <f t="shared" si="3"/>
        <v>-0.66666666666666663</v>
      </c>
    </row>
    <row r="6" spans="1:18" ht="14.4">
      <c r="A6" s="5">
        <v>0</v>
      </c>
      <c r="B6" s="5">
        <v>-1</v>
      </c>
      <c r="C6" s="5">
        <v>0</v>
      </c>
      <c r="D6" s="5">
        <v>-1</v>
      </c>
      <c r="E6" s="5">
        <v>4</v>
      </c>
      <c r="F6" s="5">
        <v>-1</v>
      </c>
      <c r="G6" s="6">
        <v>-0.33333333333333331</v>
      </c>
      <c r="I6" s="5">
        <f t="shared" ref="I6:M6" si="7">A62</f>
        <v>0</v>
      </c>
      <c r="J6" s="5">
        <f t="shared" si="7"/>
        <v>0</v>
      </c>
      <c r="K6" s="5">
        <f t="shared" si="7"/>
        <v>0</v>
      </c>
      <c r="L6" s="5">
        <f t="shared" si="7"/>
        <v>0</v>
      </c>
      <c r="M6" s="5">
        <f t="shared" si="7"/>
        <v>1</v>
      </c>
      <c r="N6" s="5">
        <f t="shared" si="1"/>
        <v>0</v>
      </c>
      <c r="O6" s="5">
        <f t="shared" si="2"/>
        <v>0</v>
      </c>
      <c r="Q6" s="10" t="s">
        <v>5</v>
      </c>
      <c r="R6" s="11">
        <f t="shared" si="3"/>
        <v>0</v>
      </c>
    </row>
    <row r="7" spans="1:18" ht="14.4">
      <c r="A7" s="5">
        <v>0</v>
      </c>
      <c r="B7" s="5">
        <v>0</v>
      </c>
      <c r="C7" s="5">
        <v>-1</v>
      </c>
      <c r="D7" s="5">
        <v>0</v>
      </c>
      <c r="E7" s="5">
        <v>-1</v>
      </c>
      <c r="F7" s="5">
        <v>4</v>
      </c>
      <c r="G7" s="6">
        <v>1.6666666666666667</v>
      </c>
      <c r="I7" s="5">
        <f t="shared" ref="I7:O7" si="8">A63</f>
        <v>0</v>
      </c>
      <c r="J7" s="5">
        <f t="shared" si="8"/>
        <v>0</v>
      </c>
      <c r="K7" s="5">
        <f t="shared" si="8"/>
        <v>0</v>
      </c>
      <c r="L7" s="5">
        <f t="shared" si="8"/>
        <v>0</v>
      </c>
      <c r="M7" s="5">
        <f t="shared" si="8"/>
        <v>0</v>
      </c>
      <c r="N7" s="5">
        <f t="shared" si="8"/>
        <v>1</v>
      </c>
      <c r="O7" s="5">
        <f t="shared" si="8"/>
        <v>0.66666666666666663</v>
      </c>
      <c r="Q7" s="10" t="s">
        <v>6</v>
      </c>
      <c r="R7" s="11">
        <f t="shared" si="3"/>
        <v>0.66666666666666663</v>
      </c>
    </row>
    <row r="9" spans="1:18" ht="14.4">
      <c r="A9" s="8" t="s">
        <v>1</v>
      </c>
      <c r="B9" s="8" t="s">
        <v>2</v>
      </c>
      <c r="C9" s="8" t="s">
        <v>3</v>
      </c>
      <c r="D9" s="8" t="s">
        <v>4</v>
      </c>
      <c r="E9" s="8" t="s">
        <v>5</v>
      </c>
      <c r="F9" s="8" t="s">
        <v>6</v>
      </c>
      <c r="G9" s="9" t="s">
        <v>7</v>
      </c>
      <c r="I9" s="8" t="s">
        <v>1</v>
      </c>
      <c r="J9" s="8" t="s">
        <v>2</v>
      </c>
      <c r="K9" s="8" t="s">
        <v>3</v>
      </c>
      <c r="L9" s="8" t="s">
        <v>4</v>
      </c>
      <c r="M9" s="8" t="s">
        <v>5</v>
      </c>
      <c r="N9" s="8" t="s">
        <v>6</v>
      </c>
      <c r="O9" s="9" t="s">
        <v>7</v>
      </c>
      <c r="Q9" s="12"/>
    </row>
    <row r="10" spans="1:18" ht="14.4">
      <c r="A10" s="5">
        <f t="shared" ref="A10:G10" si="9">IF($A$2=1,A2,A2*(1/$A$2))</f>
        <v>1</v>
      </c>
      <c r="B10" s="5">
        <f t="shared" si="9"/>
        <v>-1.5</v>
      </c>
      <c r="C10" s="5">
        <f t="shared" si="9"/>
        <v>0</v>
      </c>
      <c r="D10" s="5">
        <f t="shared" si="9"/>
        <v>0</v>
      </c>
      <c r="E10" s="5">
        <f t="shared" si="9"/>
        <v>0</v>
      </c>
      <c r="F10" s="5">
        <f t="shared" si="9"/>
        <v>0</v>
      </c>
      <c r="G10" s="5">
        <f t="shared" si="9"/>
        <v>-0.83333333333333337</v>
      </c>
      <c r="I10" s="5">
        <f t="shared" ref="I10:L10" si="10">I2</f>
        <v>1</v>
      </c>
      <c r="J10" s="5">
        <f t="shared" si="10"/>
        <v>-1.5</v>
      </c>
      <c r="K10" s="5">
        <f t="shared" si="10"/>
        <v>0</v>
      </c>
      <c r="L10" s="5">
        <f t="shared" si="10"/>
        <v>0</v>
      </c>
      <c r="M10" s="5">
        <f t="shared" ref="M10:M13" si="11">IF(E58=0,E58,E58+(E58*(-$M$6)))</f>
        <v>0</v>
      </c>
      <c r="N10" s="5">
        <f t="shared" ref="N10:N13" si="12">N2</f>
        <v>0</v>
      </c>
      <c r="O10" s="5">
        <f t="shared" ref="O10:O13" si="13">IF(E58=0,O2,O2+(E58*(-$O$6)))</f>
        <v>-0.83333333333333337</v>
      </c>
    </row>
    <row r="11" spans="1:18" ht="14.4">
      <c r="A11" s="5">
        <f t="shared" ref="A11:A15" si="14">IF(A3=0,A3,A3+($A$10*(-A3)))</f>
        <v>0</v>
      </c>
      <c r="B11" s="5">
        <f t="shared" ref="B11:B15" si="15">IF(A3=0,B3,B3+($B$10*(-A3)))</f>
        <v>2.5</v>
      </c>
      <c r="C11" s="5">
        <f t="shared" ref="C11:C15" si="16">IF(A3=0,C3,C3+($C$10*(-A3)))</f>
        <v>-1</v>
      </c>
      <c r="D11" s="5">
        <f t="shared" ref="D11:D15" si="17">IF(A3=0,D3,D3+($D$10*(-A3)))</f>
        <v>0</v>
      </c>
      <c r="E11" s="5">
        <f t="shared" ref="E11:E15" si="18">IF(A3=0,E3,E3+($E$10*(-A3)))</f>
        <v>-1</v>
      </c>
      <c r="F11" s="5">
        <f t="shared" ref="F11:F15" si="19">IF(A3=0,F3,F3+($F$10*(-A3)))</f>
        <v>0</v>
      </c>
      <c r="G11" s="6">
        <f t="shared" ref="G11:G15" si="20">IF(A3=0,G3,G3+($G$10*(-A3)))</f>
        <v>-0.16666666666666674</v>
      </c>
      <c r="I11" s="5">
        <f t="shared" ref="I11:L11" si="21">I3</f>
        <v>0</v>
      </c>
      <c r="J11" s="5">
        <f t="shared" si="21"/>
        <v>1</v>
      </c>
      <c r="K11" s="5">
        <f t="shared" si="21"/>
        <v>-0.4</v>
      </c>
      <c r="L11" s="5">
        <f t="shared" si="21"/>
        <v>0</v>
      </c>
      <c r="M11" s="5">
        <f t="shared" si="11"/>
        <v>0</v>
      </c>
      <c r="N11" s="5">
        <f t="shared" si="12"/>
        <v>0</v>
      </c>
      <c r="O11" s="5">
        <f t="shared" si="13"/>
        <v>-6.6666666666666693E-2</v>
      </c>
    </row>
    <row r="12" spans="1:18" ht="14.4">
      <c r="A12" s="5">
        <f t="shared" si="14"/>
        <v>0</v>
      </c>
      <c r="B12" s="5">
        <f t="shared" si="15"/>
        <v>-1</v>
      </c>
      <c r="C12" s="5">
        <f t="shared" si="16"/>
        <v>4</v>
      </c>
      <c r="D12" s="5">
        <f t="shared" si="17"/>
        <v>0</v>
      </c>
      <c r="E12" s="5">
        <f t="shared" si="18"/>
        <v>0</v>
      </c>
      <c r="F12" s="5">
        <f t="shared" si="19"/>
        <v>-1</v>
      </c>
      <c r="G12" s="6">
        <f t="shared" si="20"/>
        <v>3</v>
      </c>
      <c r="I12" s="5">
        <f t="shared" ref="I12:L12" si="22">I4</f>
        <v>0</v>
      </c>
      <c r="J12" s="5">
        <f t="shared" si="22"/>
        <v>0</v>
      </c>
      <c r="K12" s="5">
        <f t="shared" si="22"/>
        <v>1</v>
      </c>
      <c r="L12" s="5">
        <f t="shared" si="22"/>
        <v>0</v>
      </c>
      <c r="M12" s="5">
        <f t="shared" si="11"/>
        <v>0</v>
      </c>
      <c r="N12" s="5">
        <f t="shared" si="12"/>
        <v>0</v>
      </c>
      <c r="O12" s="5">
        <f t="shared" si="13"/>
        <v>1</v>
      </c>
    </row>
    <row r="13" spans="1:18" ht="14.4">
      <c r="A13" s="5">
        <f t="shared" si="14"/>
        <v>0</v>
      </c>
      <c r="B13" s="5">
        <f t="shared" si="15"/>
        <v>0</v>
      </c>
      <c r="C13" s="5">
        <f t="shared" si="16"/>
        <v>0</v>
      </c>
      <c r="D13" s="5">
        <f t="shared" si="17"/>
        <v>2</v>
      </c>
      <c r="E13" s="5">
        <f t="shared" si="18"/>
        <v>-3</v>
      </c>
      <c r="F13" s="5">
        <f t="shared" si="19"/>
        <v>0</v>
      </c>
      <c r="G13" s="6">
        <f t="shared" si="20"/>
        <v>-1.3333333333333333</v>
      </c>
      <c r="I13" s="5">
        <f t="shared" ref="I13:L13" si="23">I5</f>
        <v>0</v>
      </c>
      <c r="J13" s="5">
        <f t="shared" si="23"/>
        <v>0</v>
      </c>
      <c r="K13" s="5">
        <f t="shared" si="23"/>
        <v>0</v>
      </c>
      <c r="L13" s="5">
        <f t="shared" si="23"/>
        <v>1</v>
      </c>
      <c r="M13" s="5">
        <f t="shared" si="11"/>
        <v>0</v>
      </c>
      <c r="N13" s="5">
        <f t="shared" si="12"/>
        <v>0</v>
      </c>
      <c r="O13" s="5">
        <f t="shared" si="13"/>
        <v>-0.66666666666666663</v>
      </c>
    </row>
    <row r="14" spans="1:18" ht="14.4">
      <c r="A14" s="5">
        <f t="shared" si="14"/>
        <v>0</v>
      </c>
      <c r="B14" s="5">
        <f t="shared" si="15"/>
        <v>-1</v>
      </c>
      <c r="C14" s="5">
        <f t="shared" si="16"/>
        <v>0</v>
      </c>
      <c r="D14" s="5">
        <f t="shared" si="17"/>
        <v>-1</v>
      </c>
      <c r="E14" s="5">
        <f t="shared" si="18"/>
        <v>4</v>
      </c>
      <c r="F14" s="5">
        <f t="shared" si="19"/>
        <v>-1</v>
      </c>
      <c r="G14" s="6">
        <f t="shared" si="20"/>
        <v>-0.33333333333333331</v>
      </c>
      <c r="I14" s="5">
        <f t="shared" ref="I14:O14" si="24">I6</f>
        <v>0</v>
      </c>
      <c r="J14" s="5">
        <f t="shared" si="24"/>
        <v>0</v>
      </c>
      <c r="K14" s="5">
        <f t="shared" si="24"/>
        <v>0</v>
      </c>
      <c r="L14" s="5">
        <f t="shared" si="24"/>
        <v>0</v>
      </c>
      <c r="M14" s="5">
        <f t="shared" si="24"/>
        <v>1</v>
      </c>
      <c r="N14" s="5">
        <f t="shared" si="24"/>
        <v>0</v>
      </c>
      <c r="O14" s="5">
        <f t="shared" si="24"/>
        <v>0</v>
      </c>
    </row>
    <row r="15" spans="1:18" ht="14.4">
      <c r="A15" s="5">
        <f t="shared" si="14"/>
        <v>0</v>
      </c>
      <c r="B15" s="5">
        <f t="shared" si="15"/>
        <v>0</v>
      </c>
      <c r="C15" s="5">
        <f t="shared" si="16"/>
        <v>-1</v>
      </c>
      <c r="D15" s="5">
        <f t="shared" si="17"/>
        <v>0</v>
      </c>
      <c r="E15" s="5">
        <f t="shared" si="18"/>
        <v>-1</v>
      </c>
      <c r="F15" s="5">
        <f t="shared" si="19"/>
        <v>4</v>
      </c>
      <c r="G15" s="6">
        <f t="shared" si="20"/>
        <v>1.6666666666666667</v>
      </c>
      <c r="I15" s="5">
        <f t="shared" ref="I15:O15" si="25">I7</f>
        <v>0</v>
      </c>
      <c r="J15" s="5">
        <f t="shared" si="25"/>
        <v>0</v>
      </c>
      <c r="K15" s="5">
        <f t="shared" si="25"/>
        <v>0</v>
      </c>
      <c r="L15" s="5">
        <f t="shared" si="25"/>
        <v>0</v>
      </c>
      <c r="M15" s="5">
        <f t="shared" si="25"/>
        <v>0</v>
      </c>
      <c r="N15" s="5">
        <f t="shared" si="25"/>
        <v>1</v>
      </c>
      <c r="O15" s="5">
        <f t="shared" si="25"/>
        <v>0.66666666666666663</v>
      </c>
    </row>
    <row r="17" spans="1:15" ht="14.4">
      <c r="A17" s="8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9" t="s">
        <v>7</v>
      </c>
      <c r="I17" s="8" t="s">
        <v>1</v>
      </c>
      <c r="J17" s="8" t="s">
        <v>2</v>
      </c>
      <c r="K17" s="8" t="s">
        <v>3</v>
      </c>
      <c r="L17" s="8" t="s">
        <v>4</v>
      </c>
      <c r="M17" s="8" t="s">
        <v>5</v>
      </c>
      <c r="N17" s="8" t="s">
        <v>6</v>
      </c>
      <c r="O17" s="9" t="s">
        <v>7</v>
      </c>
    </row>
    <row r="18" spans="1:15" ht="14.4">
      <c r="A18" s="5">
        <f t="shared" ref="A18:G18" si="26">A10</f>
        <v>1</v>
      </c>
      <c r="B18" s="5">
        <f t="shared" si="26"/>
        <v>-1.5</v>
      </c>
      <c r="C18" s="5">
        <f t="shared" si="26"/>
        <v>0</v>
      </c>
      <c r="D18" s="5">
        <f t="shared" si="26"/>
        <v>0</v>
      </c>
      <c r="E18" s="5">
        <f t="shared" si="26"/>
        <v>0</v>
      </c>
      <c r="F18" s="5">
        <f t="shared" si="26"/>
        <v>0</v>
      </c>
      <c r="G18" s="5">
        <f t="shared" si="26"/>
        <v>-0.83333333333333337</v>
      </c>
      <c r="I18" s="5">
        <f t="shared" ref="I18:K18" si="27">I10</f>
        <v>1</v>
      </c>
      <c r="J18" s="5">
        <f t="shared" si="27"/>
        <v>-1.5</v>
      </c>
      <c r="K18" s="5">
        <f t="shared" si="27"/>
        <v>0</v>
      </c>
      <c r="L18" s="5">
        <f t="shared" ref="L18:L20" si="28">IF(L10=0,L10,L10+(L10*(-$L$21)))</f>
        <v>0</v>
      </c>
      <c r="M18" s="5">
        <f t="shared" ref="M18:N18" si="29">M10</f>
        <v>0</v>
      </c>
      <c r="N18" s="5">
        <f t="shared" si="29"/>
        <v>0</v>
      </c>
      <c r="O18" s="5">
        <f t="shared" ref="O18:O19" si="30">IF(L10=0,O10,L10+(L10*(-$O$21)))</f>
        <v>-0.83333333333333337</v>
      </c>
    </row>
    <row r="19" spans="1:15" ht="14.4">
      <c r="A19" s="5">
        <f t="shared" ref="A19:A23" si="31">A11</f>
        <v>0</v>
      </c>
      <c r="B19" s="5">
        <f>IF($B$11=1,B11,B11*(1/B11))</f>
        <v>1</v>
      </c>
      <c r="C19" s="5">
        <f t="shared" ref="C19:G19" si="32">IF($B$11=1,C11,C11*(1/$B$11))</f>
        <v>-0.4</v>
      </c>
      <c r="D19" s="5">
        <f t="shared" si="32"/>
        <v>0</v>
      </c>
      <c r="E19" s="5">
        <f t="shared" si="32"/>
        <v>-0.4</v>
      </c>
      <c r="F19" s="5">
        <f t="shared" si="32"/>
        <v>0</v>
      </c>
      <c r="G19" s="5">
        <f t="shared" si="32"/>
        <v>-6.6666666666666693E-2</v>
      </c>
      <c r="I19" s="5">
        <f t="shared" ref="I19:K19" si="33">I11</f>
        <v>0</v>
      </c>
      <c r="J19" s="5">
        <f t="shared" si="33"/>
        <v>1</v>
      </c>
      <c r="K19" s="5">
        <f t="shared" si="33"/>
        <v>-0.4</v>
      </c>
      <c r="L19" s="5">
        <f t="shared" si="28"/>
        <v>0</v>
      </c>
      <c r="M19" s="5">
        <f t="shared" ref="M19:N19" si="34">M11</f>
        <v>0</v>
      </c>
      <c r="N19" s="5">
        <f t="shared" si="34"/>
        <v>0</v>
      </c>
      <c r="O19" s="5">
        <f t="shared" si="30"/>
        <v>-6.6666666666666693E-2</v>
      </c>
    </row>
    <row r="20" spans="1:15" ht="14.4">
      <c r="A20" s="5">
        <f t="shared" si="31"/>
        <v>0</v>
      </c>
      <c r="B20" s="5">
        <f t="shared" ref="B20:B23" si="35">IF(B12=0,B12,B12+($B$19*(-B12)))</f>
        <v>0</v>
      </c>
      <c r="C20" s="5">
        <f t="shared" ref="C20:C23" si="36">IF(B12=0,C12,C12+($C$19*(-B12)))</f>
        <v>3.6</v>
      </c>
      <c r="D20" s="5">
        <f t="shared" ref="D20:D23" si="37">IF(B12=0,D12,D12+($D$19*(-B12)))</f>
        <v>0</v>
      </c>
      <c r="E20" s="5">
        <f t="shared" ref="E20:E23" si="38">IF(B12=0,E12,E12+($E$19*(-B12)))</f>
        <v>-0.4</v>
      </c>
      <c r="F20" s="5">
        <f t="shared" ref="F20:F23" si="39">IF(B12=0,F12,F12+($F$19*(-B12)))</f>
        <v>-1</v>
      </c>
      <c r="G20" s="6">
        <f t="shared" ref="G20:G23" si="40">IF(B12=0,G12,G12+($G$19*(-B12)))</f>
        <v>2.9333333333333331</v>
      </c>
      <c r="I20" s="5">
        <f t="shared" ref="I20:K20" si="41">I12</f>
        <v>0</v>
      </c>
      <c r="J20" s="5">
        <f t="shared" si="41"/>
        <v>0</v>
      </c>
      <c r="K20" s="5">
        <f t="shared" si="41"/>
        <v>1</v>
      </c>
      <c r="L20" s="5">
        <f t="shared" si="28"/>
        <v>0</v>
      </c>
      <c r="M20" s="5">
        <f t="shared" ref="M20:N20" si="42">M12</f>
        <v>0</v>
      </c>
      <c r="N20" s="5">
        <f t="shared" si="42"/>
        <v>0</v>
      </c>
      <c r="O20" s="5">
        <f>IF(L12=0,O12,O12+(L12*(-$O$21)))</f>
        <v>1</v>
      </c>
    </row>
    <row r="21" spans="1:15" ht="15.75" customHeight="1">
      <c r="A21" s="5">
        <f t="shared" si="31"/>
        <v>0</v>
      </c>
      <c r="B21" s="5">
        <f t="shared" si="35"/>
        <v>0</v>
      </c>
      <c r="C21" s="5">
        <f t="shared" si="36"/>
        <v>0</v>
      </c>
      <c r="D21" s="5">
        <f t="shared" si="37"/>
        <v>2</v>
      </c>
      <c r="E21" s="5">
        <f t="shared" si="38"/>
        <v>-3</v>
      </c>
      <c r="F21" s="5">
        <f t="shared" si="39"/>
        <v>0</v>
      </c>
      <c r="G21" s="6">
        <f t="shared" si="40"/>
        <v>-1.3333333333333333</v>
      </c>
      <c r="I21" s="5">
        <f t="shared" ref="I21:O21" si="43">I13</f>
        <v>0</v>
      </c>
      <c r="J21" s="5">
        <f t="shared" si="43"/>
        <v>0</v>
      </c>
      <c r="K21" s="5">
        <f t="shared" si="43"/>
        <v>0</v>
      </c>
      <c r="L21" s="5">
        <f t="shared" si="43"/>
        <v>1</v>
      </c>
      <c r="M21" s="5">
        <f t="shared" si="43"/>
        <v>0</v>
      </c>
      <c r="N21" s="5">
        <f t="shared" si="43"/>
        <v>0</v>
      </c>
      <c r="O21" s="5">
        <f t="shared" si="43"/>
        <v>-0.66666666666666663</v>
      </c>
    </row>
    <row r="22" spans="1:15" ht="15.75" customHeight="1">
      <c r="A22" s="5">
        <f t="shared" si="31"/>
        <v>0</v>
      </c>
      <c r="B22" s="5">
        <f t="shared" si="35"/>
        <v>0</v>
      </c>
      <c r="C22" s="5">
        <f t="shared" si="36"/>
        <v>-0.4</v>
      </c>
      <c r="D22" s="5">
        <f t="shared" si="37"/>
        <v>-1</v>
      </c>
      <c r="E22" s="5">
        <f t="shared" si="38"/>
        <v>3.6</v>
      </c>
      <c r="F22" s="5">
        <f t="shared" si="39"/>
        <v>-1</v>
      </c>
      <c r="G22" s="6">
        <f t="shared" si="40"/>
        <v>-0.4</v>
      </c>
      <c r="I22" s="5">
        <f t="shared" ref="I22:O22" si="44">I14</f>
        <v>0</v>
      </c>
      <c r="J22" s="5">
        <f t="shared" si="44"/>
        <v>0</v>
      </c>
      <c r="K22" s="5">
        <f t="shared" si="44"/>
        <v>0</v>
      </c>
      <c r="L22" s="5">
        <f t="shared" si="44"/>
        <v>0</v>
      </c>
      <c r="M22" s="5">
        <f t="shared" si="44"/>
        <v>1</v>
      </c>
      <c r="N22" s="5">
        <f t="shared" si="44"/>
        <v>0</v>
      </c>
      <c r="O22" s="5">
        <f t="shared" si="44"/>
        <v>0</v>
      </c>
    </row>
    <row r="23" spans="1:15" ht="15.75" customHeight="1">
      <c r="A23" s="5">
        <f t="shared" si="31"/>
        <v>0</v>
      </c>
      <c r="B23" s="5">
        <f t="shared" si="35"/>
        <v>0</v>
      </c>
      <c r="C23" s="5">
        <f t="shared" si="36"/>
        <v>-1</v>
      </c>
      <c r="D23" s="5">
        <f t="shared" si="37"/>
        <v>0</v>
      </c>
      <c r="E23" s="5">
        <f t="shared" si="38"/>
        <v>-1</v>
      </c>
      <c r="F23" s="5">
        <f t="shared" si="39"/>
        <v>4</v>
      </c>
      <c r="G23" s="6">
        <f t="shared" si="40"/>
        <v>1.6666666666666667</v>
      </c>
      <c r="I23" s="5">
        <f t="shared" ref="I23:O23" si="45">I15</f>
        <v>0</v>
      </c>
      <c r="J23" s="5">
        <f t="shared" si="45"/>
        <v>0</v>
      </c>
      <c r="K23" s="5">
        <f t="shared" si="45"/>
        <v>0</v>
      </c>
      <c r="L23" s="5">
        <f t="shared" si="45"/>
        <v>0</v>
      </c>
      <c r="M23" s="5">
        <f t="shared" si="45"/>
        <v>0</v>
      </c>
      <c r="N23" s="5">
        <f t="shared" si="45"/>
        <v>1</v>
      </c>
      <c r="O23" s="5">
        <f t="shared" si="45"/>
        <v>0.66666666666666663</v>
      </c>
    </row>
    <row r="24" spans="1:15" ht="15.75" customHeight="1"/>
    <row r="25" spans="1:15" ht="15.75" customHeight="1">
      <c r="A25" s="8" t="s">
        <v>1</v>
      </c>
      <c r="B25" s="8" t="s">
        <v>2</v>
      </c>
      <c r="C25" s="8" t="s">
        <v>3</v>
      </c>
      <c r="D25" s="8" t="s">
        <v>4</v>
      </c>
      <c r="E25" s="8" t="s">
        <v>5</v>
      </c>
      <c r="F25" s="8" t="s">
        <v>6</v>
      </c>
      <c r="G25" s="9" t="s">
        <v>7</v>
      </c>
      <c r="I25" s="8" t="s">
        <v>1</v>
      </c>
      <c r="J25" s="8" t="s">
        <v>2</v>
      </c>
      <c r="K25" s="8" t="s">
        <v>3</v>
      </c>
      <c r="L25" s="8" t="s">
        <v>4</v>
      </c>
      <c r="M25" s="8" t="s">
        <v>5</v>
      </c>
      <c r="N25" s="8" t="s">
        <v>6</v>
      </c>
      <c r="O25" s="9" t="s">
        <v>7</v>
      </c>
    </row>
    <row r="26" spans="1:15" ht="15.75" customHeight="1">
      <c r="A26" s="5">
        <f t="shared" ref="A26:G26" si="46">A18</f>
        <v>1</v>
      </c>
      <c r="B26" s="5">
        <f t="shared" si="46"/>
        <v>-1.5</v>
      </c>
      <c r="C26" s="5">
        <f t="shared" si="46"/>
        <v>0</v>
      </c>
      <c r="D26" s="5">
        <f t="shared" si="46"/>
        <v>0</v>
      </c>
      <c r="E26" s="5">
        <f t="shared" si="46"/>
        <v>0</v>
      </c>
      <c r="F26" s="5">
        <f t="shared" si="46"/>
        <v>0</v>
      </c>
      <c r="G26" s="5">
        <f t="shared" si="46"/>
        <v>-0.83333333333333337</v>
      </c>
      <c r="I26" s="5">
        <f t="shared" ref="I26:J26" si="47">I18</f>
        <v>1</v>
      </c>
      <c r="J26" s="5">
        <f t="shared" si="47"/>
        <v>-1.5</v>
      </c>
      <c r="K26" s="5">
        <f t="shared" ref="K26:K27" si="48">IF(K18=0,K18,K18+(K18*(-$K$20)))</f>
        <v>0</v>
      </c>
      <c r="L26" s="5">
        <f t="shared" ref="L26:N26" si="49">L18</f>
        <v>0</v>
      </c>
      <c r="M26" s="5">
        <f t="shared" si="49"/>
        <v>0</v>
      </c>
      <c r="N26" s="5">
        <f t="shared" si="49"/>
        <v>0</v>
      </c>
      <c r="O26" s="5">
        <f>IF(K18=0,O18,O18+(K18*(-O19)))</f>
        <v>-0.83333333333333337</v>
      </c>
    </row>
    <row r="27" spans="1:15" ht="15.75" customHeight="1">
      <c r="A27" s="5">
        <f t="shared" ref="A27:G27" si="50">A19</f>
        <v>0</v>
      </c>
      <c r="B27" s="5">
        <f t="shared" si="50"/>
        <v>1</v>
      </c>
      <c r="C27" s="5">
        <f t="shared" si="50"/>
        <v>-0.4</v>
      </c>
      <c r="D27" s="5">
        <f t="shared" si="50"/>
        <v>0</v>
      </c>
      <c r="E27" s="5">
        <f t="shared" si="50"/>
        <v>-0.4</v>
      </c>
      <c r="F27" s="5">
        <f t="shared" si="50"/>
        <v>0</v>
      </c>
      <c r="G27" s="5">
        <f t="shared" si="50"/>
        <v>-6.6666666666666693E-2</v>
      </c>
      <c r="I27" s="5">
        <f t="shared" ref="I27:J27" si="51">I19</f>
        <v>0</v>
      </c>
      <c r="J27" s="5">
        <f t="shared" si="51"/>
        <v>1</v>
      </c>
      <c r="K27" s="5">
        <f t="shared" si="48"/>
        <v>0</v>
      </c>
      <c r="L27" s="5">
        <f t="shared" ref="L27:N27" si="52">L19</f>
        <v>0</v>
      </c>
      <c r="M27" s="5">
        <f t="shared" si="52"/>
        <v>0</v>
      </c>
      <c r="N27" s="5">
        <f t="shared" si="52"/>
        <v>0</v>
      </c>
      <c r="O27" s="5">
        <f>IF(K19=0,O19,O19+(K19*(-$O$28)))</f>
        <v>0.33333333333333331</v>
      </c>
    </row>
    <row r="28" spans="1:15" ht="15.75" customHeight="1">
      <c r="A28" s="5">
        <f t="shared" ref="A28:A31" si="53">A20</f>
        <v>0</v>
      </c>
      <c r="B28" s="5">
        <f t="shared" ref="B28:B31" si="54">IF(B20=0,B20,B20+($B$19*(-B20)))</f>
        <v>0</v>
      </c>
      <c r="C28" s="5">
        <f t="shared" ref="C28:C31" si="55">IF(B20=0,C20,C20+($C$19*(-B20)))</f>
        <v>3.6</v>
      </c>
      <c r="D28" s="5">
        <f t="shared" ref="D28:D31" si="56">IF(B20=0,D20,D20+($D$19*(-B20)))</f>
        <v>0</v>
      </c>
      <c r="E28" s="5">
        <f t="shared" ref="E28:E31" si="57">IF(B20=0,E20,E20+($E$19*(-B20)))</f>
        <v>-0.4</v>
      </c>
      <c r="F28" s="5">
        <f t="shared" ref="F28:F31" si="58">IF(B20=0,F20,F20+($F$19*(-B20)))</f>
        <v>-1</v>
      </c>
      <c r="G28" s="6">
        <f t="shared" ref="G28:G31" si="59">IF(B20=0,G20,G20+($G$19*(-B20)))</f>
        <v>2.9333333333333331</v>
      </c>
      <c r="I28" s="5">
        <f t="shared" ref="I28:O28" si="60">I20</f>
        <v>0</v>
      </c>
      <c r="J28" s="5">
        <f t="shared" si="60"/>
        <v>0</v>
      </c>
      <c r="K28" s="5">
        <f t="shared" si="60"/>
        <v>1</v>
      </c>
      <c r="L28" s="5">
        <f t="shared" si="60"/>
        <v>0</v>
      </c>
      <c r="M28" s="5">
        <f t="shared" si="60"/>
        <v>0</v>
      </c>
      <c r="N28" s="5">
        <f t="shared" si="60"/>
        <v>0</v>
      </c>
      <c r="O28" s="5">
        <f t="shared" si="60"/>
        <v>1</v>
      </c>
    </row>
    <row r="29" spans="1:15" ht="15.75" customHeight="1">
      <c r="A29" s="5">
        <f t="shared" si="53"/>
        <v>0</v>
      </c>
      <c r="B29" s="5">
        <f t="shared" si="54"/>
        <v>0</v>
      </c>
      <c r="C29" s="5">
        <f t="shared" si="55"/>
        <v>0</v>
      </c>
      <c r="D29" s="5">
        <f t="shared" si="56"/>
        <v>2</v>
      </c>
      <c r="E29" s="5">
        <f t="shared" si="57"/>
        <v>-3</v>
      </c>
      <c r="F29" s="5">
        <f t="shared" si="58"/>
        <v>0</v>
      </c>
      <c r="G29" s="6">
        <f t="shared" si="59"/>
        <v>-1.3333333333333333</v>
      </c>
      <c r="I29" s="5">
        <f t="shared" ref="I29:O29" si="61">I21</f>
        <v>0</v>
      </c>
      <c r="J29" s="5">
        <f t="shared" si="61"/>
        <v>0</v>
      </c>
      <c r="K29" s="5">
        <f t="shared" si="61"/>
        <v>0</v>
      </c>
      <c r="L29" s="5">
        <f t="shared" si="61"/>
        <v>1</v>
      </c>
      <c r="M29" s="5">
        <f t="shared" si="61"/>
        <v>0</v>
      </c>
      <c r="N29" s="5">
        <f t="shared" si="61"/>
        <v>0</v>
      </c>
      <c r="O29" s="5">
        <f t="shared" si="61"/>
        <v>-0.66666666666666663</v>
      </c>
    </row>
    <row r="30" spans="1:15" ht="15.75" customHeight="1">
      <c r="A30" s="5">
        <f t="shared" si="53"/>
        <v>0</v>
      </c>
      <c r="B30" s="5">
        <f t="shared" si="54"/>
        <v>0</v>
      </c>
      <c r="C30" s="5">
        <f t="shared" si="55"/>
        <v>-0.4</v>
      </c>
      <c r="D30" s="5">
        <f t="shared" si="56"/>
        <v>-1</v>
      </c>
      <c r="E30" s="5">
        <f t="shared" si="57"/>
        <v>3.6</v>
      </c>
      <c r="F30" s="5">
        <f t="shared" si="58"/>
        <v>-1</v>
      </c>
      <c r="G30" s="6">
        <f t="shared" si="59"/>
        <v>-0.4</v>
      </c>
      <c r="I30" s="5">
        <f t="shared" ref="I30:O30" si="62">I22</f>
        <v>0</v>
      </c>
      <c r="J30" s="5">
        <f t="shared" si="62"/>
        <v>0</v>
      </c>
      <c r="K30" s="5">
        <f t="shared" si="62"/>
        <v>0</v>
      </c>
      <c r="L30" s="5">
        <f t="shared" si="62"/>
        <v>0</v>
      </c>
      <c r="M30" s="5">
        <f t="shared" si="62"/>
        <v>1</v>
      </c>
      <c r="N30" s="5">
        <f t="shared" si="62"/>
        <v>0</v>
      </c>
      <c r="O30" s="5">
        <f t="shared" si="62"/>
        <v>0</v>
      </c>
    </row>
    <row r="31" spans="1:15" ht="15.75" customHeight="1">
      <c r="A31" s="5">
        <f t="shared" si="53"/>
        <v>0</v>
      </c>
      <c r="B31" s="5">
        <f t="shared" si="54"/>
        <v>0</v>
      </c>
      <c r="C31" s="5">
        <f t="shared" si="55"/>
        <v>-1</v>
      </c>
      <c r="D31" s="5">
        <f t="shared" si="56"/>
        <v>0</v>
      </c>
      <c r="E31" s="5">
        <f t="shared" si="57"/>
        <v>-1</v>
      </c>
      <c r="F31" s="5">
        <f t="shared" si="58"/>
        <v>4</v>
      </c>
      <c r="G31" s="6">
        <f t="shared" si="59"/>
        <v>1.6666666666666667</v>
      </c>
      <c r="I31" s="5">
        <f t="shared" ref="I31:O31" si="63">I23</f>
        <v>0</v>
      </c>
      <c r="J31" s="5">
        <f t="shared" si="63"/>
        <v>0</v>
      </c>
      <c r="K31" s="5">
        <f t="shared" si="63"/>
        <v>0</v>
      </c>
      <c r="L31" s="5">
        <f t="shared" si="63"/>
        <v>0</v>
      </c>
      <c r="M31" s="5">
        <f t="shared" si="63"/>
        <v>0</v>
      </c>
      <c r="N31" s="5">
        <f t="shared" si="63"/>
        <v>1</v>
      </c>
      <c r="O31" s="5">
        <f t="shared" si="63"/>
        <v>0.66666666666666663</v>
      </c>
    </row>
    <row r="32" spans="1:15" ht="15.75" customHeight="1"/>
    <row r="33" spans="1:15" ht="15.75" customHeight="1">
      <c r="A33" s="8" t="s">
        <v>1</v>
      </c>
      <c r="B33" s="8" t="s">
        <v>2</v>
      </c>
      <c r="C33" s="8" t="s">
        <v>3</v>
      </c>
      <c r="D33" s="8" t="s">
        <v>4</v>
      </c>
      <c r="E33" s="8" t="s">
        <v>5</v>
      </c>
      <c r="F33" s="8" t="s">
        <v>6</v>
      </c>
      <c r="G33" s="9" t="s">
        <v>7</v>
      </c>
      <c r="I33" s="8" t="s">
        <v>1</v>
      </c>
      <c r="J33" s="8" t="s">
        <v>2</v>
      </c>
      <c r="K33" s="8" t="s">
        <v>3</v>
      </c>
      <c r="L33" s="8" t="s">
        <v>4</v>
      </c>
      <c r="M33" s="8" t="s">
        <v>5</v>
      </c>
      <c r="N33" s="8" t="s">
        <v>6</v>
      </c>
      <c r="O33" s="9" t="s">
        <v>7</v>
      </c>
    </row>
    <row r="34" spans="1:15" ht="15.75" customHeight="1">
      <c r="A34" s="5">
        <f t="shared" ref="A34:G34" si="64">A26</f>
        <v>1</v>
      </c>
      <c r="B34" s="5">
        <f t="shared" si="64"/>
        <v>-1.5</v>
      </c>
      <c r="C34" s="5">
        <f t="shared" si="64"/>
        <v>0</v>
      </c>
      <c r="D34" s="5">
        <f t="shared" si="64"/>
        <v>0</v>
      </c>
      <c r="E34" s="5">
        <f t="shared" si="64"/>
        <v>0</v>
      </c>
      <c r="F34" s="5">
        <f t="shared" si="64"/>
        <v>0</v>
      </c>
      <c r="G34" s="5">
        <f t="shared" si="64"/>
        <v>-0.83333333333333337</v>
      </c>
      <c r="I34" s="5">
        <f t="shared" ref="I34:I39" si="65">I26</f>
        <v>1</v>
      </c>
      <c r="J34" s="5">
        <f>IF(J26=0,J26,J26+(J26*(-J35)))</f>
        <v>0</v>
      </c>
      <c r="K34" s="5">
        <f t="shared" ref="K34:N34" si="66">K26</f>
        <v>0</v>
      </c>
      <c r="L34" s="5">
        <f t="shared" si="66"/>
        <v>0</v>
      </c>
      <c r="M34" s="5">
        <f t="shared" si="66"/>
        <v>0</v>
      </c>
      <c r="N34" s="5">
        <f t="shared" si="66"/>
        <v>0</v>
      </c>
      <c r="O34" s="5">
        <f>IF(J26=0,O26,O26+(O35*(-J26)))</f>
        <v>-0.33333333333333337</v>
      </c>
    </row>
    <row r="35" spans="1:15" ht="15.75" customHeight="1">
      <c r="A35" s="5">
        <f t="shared" ref="A35:G35" si="67">A27</f>
        <v>0</v>
      </c>
      <c r="B35" s="5">
        <f t="shared" si="67"/>
        <v>1</v>
      </c>
      <c r="C35" s="5">
        <f t="shared" si="67"/>
        <v>-0.4</v>
      </c>
      <c r="D35" s="5">
        <f t="shared" si="67"/>
        <v>0</v>
      </c>
      <c r="E35" s="5">
        <f t="shared" si="67"/>
        <v>-0.4</v>
      </c>
      <c r="F35" s="5">
        <f t="shared" si="67"/>
        <v>0</v>
      </c>
      <c r="G35" s="5">
        <f t="shared" si="67"/>
        <v>-6.6666666666666693E-2</v>
      </c>
      <c r="I35" s="5">
        <f t="shared" si="65"/>
        <v>0</v>
      </c>
      <c r="J35" s="5">
        <f t="shared" ref="J35:O35" si="68">J27</f>
        <v>1</v>
      </c>
      <c r="K35" s="5">
        <f t="shared" si="68"/>
        <v>0</v>
      </c>
      <c r="L35" s="5">
        <f t="shared" si="68"/>
        <v>0</v>
      </c>
      <c r="M35" s="5">
        <f t="shared" si="68"/>
        <v>0</v>
      </c>
      <c r="N35" s="5">
        <f t="shared" si="68"/>
        <v>0</v>
      </c>
      <c r="O35" s="5">
        <f t="shared" si="68"/>
        <v>0.33333333333333331</v>
      </c>
    </row>
    <row r="36" spans="1:15" ht="15.75" customHeight="1">
      <c r="A36" s="5">
        <f t="shared" ref="A36:B36" si="69">A28</f>
        <v>0</v>
      </c>
      <c r="B36" s="5">
        <f t="shared" si="69"/>
        <v>0</v>
      </c>
      <c r="C36" s="5">
        <f t="shared" ref="C36:G36" si="70">IF($C$28=1,C28,C28*(1/$C$28))</f>
        <v>1</v>
      </c>
      <c r="D36" s="5">
        <f t="shared" si="70"/>
        <v>0</v>
      </c>
      <c r="E36" s="5">
        <f t="shared" si="70"/>
        <v>-0.11111111111111112</v>
      </c>
      <c r="F36" s="5">
        <f t="shared" si="70"/>
        <v>-0.27777777777777779</v>
      </c>
      <c r="G36" s="5">
        <f t="shared" si="70"/>
        <v>0.81481481481481477</v>
      </c>
      <c r="I36" s="5">
        <f t="shared" si="65"/>
        <v>0</v>
      </c>
      <c r="J36" s="5">
        <f t="shared" ref="J36:O36" si="71">J28</f>
        <v>0</v>
      </c>
      <c r="K36" s="5">
        <f t="shared" si="71"/>
        <v>1</v>
      </c>
      <c r="L36" s="5">
        <f t="shared" si="71"/>
        <v>0</v>
      </c>
      <c r="M36" s="5">
        <f t="shared" si="71"/>
        <v>0</v>
      </c>
      <c r="N36" s="5">
        <f t="shared" si="71"/>
        <v>0</v>
      </c>
      <c r="O36" s="5">
        <f t="shared" si="71"/>
        <v>1</v>
      </c>
    </row>
    <row r="37" spans="1:15" ht="15.75" customHeight="1">
      <c r="A37" s="5">
        <f t="shared" ref="A37:B37" si="72">A29</f>
        <v>0</v>
      </c>
      <c r="B37" s="5">
        <f t="shared" si="72"/>
        <v>0</v>
      </c>
      <c r="C37" s="5">
        <f t="shared" ref="C37:C39" si="73">IF(C29=0,C29,C29+($C$36*(-C29)))</f>
        <v>0</v>
      </c>
      <c r="D37" s="5">
        <f t="shared" ref="D37:D39" si="74">IF(D29=0,D29,D29+($D$36*(-C29)))</f>
        <v>2</v>
      </c>
      <c r="E37" s="5">
        <f t="shared" ref="E37:E39" si="75">IF(E29=0,E29,E29+($E$36*(-C29)))</f>
        <v>-3</v>
      </c>
      <c r="F37" s="5">
        <f t="shared" ref="F37:F39" si="76">IF(F29=0,F29,F29+($F$36*(-C29)))</f>
        <v>0</v>
      </c>
      <c r="G37" s="6">
        <f t="shared" ref="G37:G39" si="77">IF(G29=0,G29,G29+($G$36*(-C29)))</f>
        <v>-1.3333333333333333</v>
      </c>
      <c r="I37" s="5">
        <f t="shared" si="65"/>
        <v>0</v>
      </c>
      <c r="J37" s="5">
        <f t="shared" ref="J37:O37" si="78">J29</f>
        <v>0</v>
      </c>
      <c r="K37" s="5">
        <f t="shared" si="78"/>
        <v>0</v>
      </c>
      <c r="L37" s="5">
        <f t="shared" si="78"/>
        <v>1</v>
      </c>
      <c r="M37" s="5">
        <f t="shared" si="78"/>
        <v>0</v>
      </c>
      <c r="N37" s="5">
        <f t="shared" si="78"/>
        <v>0</v>
      </c>
      <c r="O37" s="5">
        <f t="shared" si="78"/>
        <v>-0.66666666666666663</v>
      </c>
    </row>
    <row r="38" spans="1:15" ht="15.75" customHeight="1">
      <c r="A38" s="5">
        <f t="shared" ref="A38:B38" si="79">A30</f>
        <v>0</v>
      </c>
      <c r="B38" s="5">
        <f t="shared" si="79"/>
        <v>0</v>
      </c>
      <c r="C38" s="5">
        <f t="shared" si="73"/>
        <v>0</v>
      </c>
      <c r="D38" s="5">
        <f t="shared" si="74"/>
        <v>-1</v>
      </c>
      <c r="E38" s="5">
        <f t="shared" si="75"/>
        <v>3.5555555555555558</v>
      </c>
      <c r="F38" s="5">
        <f t="shared" si="76"/>
        <v>-1.1111111111111112</v>
      </c>
      <c r="G38" s="6">
        <f t="shared" si="77"/>
        <v>-7.407407407407407E-2</v>
      </c>
      <c r="I38" s="5">
        <f t="shared" si="65"/>
        <v>0</v>
      </c>
      <c r="J38" s="5">
        <f t="shared" ref="J38:O38" si="80">J30</f>
        <v>0</v>
      </c>
      <c r="K38" s="5">
        <f t="shared" si="80"/>
        <v>0</v>
      </c>
      <c r="L38" s="5">
        <f t="shared" si="80"/>
        <v>0</v>
      </c>
      <c r="M38" s="5">
        <f t="shared" si="80"/>
        <v>1</v>
      </c>
      <c r="N38" s="5">
        <f t="shared" si="80"/>
        <v>0</v>
      </c>
      <c r="O38" s="5">
        <f t="shared" si="80"/>
        <v>0</v>
      </c>
    </row>
    <row r="39" spans="1:15" ht="15.75" customHeight="1">
      <c r="A39" s="5">
        <f t="shared" ref="A39:B39" si="81">A31</f>
        <v>0</v>
      </c>
      <c r="B39" s="5">
        <f t="shared" si="81"/>
        <v>0</v>
      </c>
      <c r="C39" s="5">
        <f t="shared" si="73"/>
        <v>0</v>
      </c>
      <c r="D39" s="5">
        <f t="shared" si="74"/>
        <v>0</v>
      </c>
      <c r="E39" s="5">
        <f t="shared" si="75"/>
        <v>-1.1111111111111112</v>
      </c>
      <c r="F39" s="5">
        <f t="shared" si="76"/>
        <v>3.7222222222222223</v>
      </c>
      <c r="G39" s="6">
        <f t="shared" si="77"/>
        <v>2.4814814814814814</v>
      </c>
      <c r="I39" s="5">
        <f t="shared" si="65"/>
        <v>0</v>
      </c>
      <c r="J39" s="5">
        <f t="shared" ref="J39:O39" si="82">J31</f>
        <v>0</v>
      </c>
      <c r="K39" s="5">
        <f t="shared" si="82"/>
        <v>0</v>
      </c>
      <c r="L39" s="5">
        <f t="shared" si="82"/>
        <v>0</v>
      </c>
      <c r="M39" s="5">
        <f t="shared" si="82"/>
        <v>0</v>
      </c>
      <c r="N39" s="5">
        <f t="shared" si="82"/>
        <v>1</v>
      </c>
      <c r="O39" s="5">
        <f t="shared" si="82"/>
        <v>0.66666666666666663</v>
      </c>
    </row>
    <row r="40" spans="1:15" ht="15.75" customHeight="1"/>
    <row r="41" spans="1:15" ht="15.75" customHeight="1">
      <c r="A41" s="8" t="s">
        <v>1</v>
      </c>
      <c r="B41" s="8" t="s">
        <v>2</v>
      </c>
      <c r="C41" s="8" t="s">
        <v>3</v>
      </c>
      <c r="D41" s="8" t="s">
        <v>4</v>
      </c>
      <c r="E41" s="8" t="s">
        <v>5</v>
      </c>
      <c r="F41" s="8" t="s">
        <v>6</v>
      </c>
      <c r="G41" s="9" t="s">
        <v>7</v>
      </c>
    </row>
    <row r="42" spans="1:15" ht="15.75" customHeight="1">
      <c r="A42" s="5">
        <f t="shared" ref="A42:G42" si="83">A34</f>
        <v>1</v>
      </c>
      <c r="B42" s="5">
        <f t="shared" si="83"/>
        <v>-1.5</v>
      </c>
      <c r="C42" s="5">
        <f t="shared" si="83"/>
        <v>0</v>
      </c>
      <c r="D42" s="5">
        <f t="shared" si="83"/>
        <v>0</v>
      </c>
      <c r="E42" s="5">
        <f t="shared" si="83"/>
        <v>0</v>
      </c>
      <c r="F42" s="5">
        <f t="shared" si="83"/>
        <v>0</v>
      </c>
      <c r="G42" s="5">
        <f t="shared" si="83"/>
        <v>-0.83333333333333337</v>
      </c>
    </row>
    <row r="43" spans="1:15" ht="15.75" customHeight="1">
      <c r="A43" s="5">
        <f t="shared" ref="A43:G43" si="84">A35</f>
        <v>0</v>
      </c>
      <c r="B43" s="5">
        <f t="shared" si="84"/>
        <v>1</v>
      </c>
      <c r="C43" s="5">
        <f t="shared" si="84"/>
        <v>-0.4</v>
      </c>
      <c r="D43" s="5">
        <f t="shared" si="84"/>
        <v>0</v>
      </c>
      <c r="E43" s="5">
        <f t="shared" si="84"/>
        <v>-0.4</v>
      </c>
      <c r="F43" s="5">
        <f t="shared" si="84"/>
        <v>0</v>
      </c>
      <c r="G43" s="5">
        <f t="shared" si="84"/>
        <v>-6.6666666666666693E-2</v>
      </c>
    </row>
    <row r="44" spans="1:15" ht="15.75" customHeight="1">
      <c r="A44" s="5">
        <f t="shared" ref="A44:G44" si="85">A36</f>
        <v>0</v>
      </c>
      <c r="B44" s="5">
        <f t="shared" si="85"/>
        <v>0</v>
      </c>
      <c r="C44" s="5">
        <f t="shared" si="85"/>
        <v>1</v>
      </c>
      <c r="D44" s="5">
        <f t="shared" si="85"/>
        <v>0</v>
      </c>
      <c r="E44" s="5">
        <f t="shared" si="85"/>
        <v>-0.11111111111111112</v>
      </c>
      <c r="F44" s="5">
        <f t="shared" si="85"/>
        <v>-0.27777777777777779</v>
      </c>
      <c r="G44" s="5">
        <f t="shared" si="85"/>
        <v>0.81481481481481477</v>
      </c>
    </row>
    <row r="45" spans="1:15" ht="15.75" customHeight="1">
      <c r="A45" s="5">
        <f t="shared" ref="A45:C45" si="86">A37</f>
        <v>0</v>
      </c>
      <c r="B45" s="5">
        <f t="shared" si="86"/>
        <v>0</v>
      </c>
      <c r="C45" s="5">
        <f t="shared" si="86"/>
        <v>0</v>
      </c>
      <c r="D45" s="5">
        <f t="shared" ref="D45:G45" si="87">IF($D$37=1,D37,D37*(1/$D$37))</f>
        <v>1</v>
      </c>
      <c r="E45" s="5">
        <f t="shared" si="87"/>
        <v>-1.5</v>
      </c>
      <c r="F45" s="5">
        <f t="shared" si="87"/>
        <v>0</v>
      </c>
      <c r="G45" s="5">
        <f t="shared" si="87"/>
        <v>-0.66666666666666663</v>
      </c>
    </row>
    <row r="46" spans="1:15" ht="15.75" customHeight="1">
      <c r="A46" s="5">
        <f t="shared" ref="A46:C46" si="88">A38</f>
        <v>0</v>
      </c>
      <c r="B46" s="5">
        <f t="shared" si="88"/>
        <v>0</v>
      </c>
      <c r="C46" s="5">
        <f t="shared" si="88"/>
        <v>0</v>
      </c>
      <c r="D46" s="5">
        <f>IF($D$38=0,D38,D38+($D$45*(-D38)))</f>
        <v>0</v>
      </c>
      <c r="E46" s="5">
        <f t="shared" ref="E46:E47" si="89">IF(D38=0,E38,E38+($E$45*(-D38)))</f>
        <v>2.0555555555555558</v>
      </c>
      <c r="F46" s="5">
        <f t="shared" ref="F46:F47" si="90">IF(D38=0,F38,F38+($F$45*(-D38)))</f>
        <v>-1.1111111111111112</v>
      </c>
      <c r="G46" s="6">
        <f t="shared" ref="G46:G47" si="91">IF(D38=0,G38,G38+($G$45*(-D38)))</f>
        <v>-0.7407407407407407</v>
      </c>
    </row>
    <row r="47" spans="1:15" ht="15.75" customHeight="1">
      <c r="A47" s="5">
        <f t="shared" ref="A47:C47" si="92">A39</f>
        <v>0</v>
      </c>
      <c r="B47" s="5">
        <f t="shared" si="92"/>
        <v>0</v>
      </c>
      <c r="C47" s="5">
        <f t="shared" si="92"/>
        <v>0</v>
      </c>
      <c r="D47" s="5">
        <f>IF(D39=0,D39,D39+($D$45*(-D39)))</f>
        <v>0</v>
      </c>
      <c r="E47" s="5">
        <f t="shared" si="89"/>
        <v>-1.1111111111111112</v>
      </c>
      <c r="F47" s="5">
        <f t="shared" si="90"/>
        <v>3.7222222222222223</v>
      </c>
      <c r="G47" s="6">
        <f t="shared" si="91"/>
        <v>2.4814814814814814</v>
      </c>
    </row>
    <row r="48" spans="1:15" ht="15.75" customHeight="1"/>
    <row r="49" spans="1:7" ht="15.75" customHeight="1">
      <c r="A49" s="8" t="s">
        <v>1</v>
      </c>
      <c r="B49" s="8" t="s">
        <v>2</v>
      </c>
      <c r="C49" s="8" t="s">
        <v>3</v>
      </c>
      <c r="D49" s="8" t="s">
        <v>4</v>
      </c>
      <c r="E49" s="8" t="s">
        <v>5</v>
      </c>
      <c r="F49" s="8" t="s">
        <v>6</v>
      </c>
      <c r="G49" s="9" t="s">
        <v>7</v>
      </c>
    </row>
    <row r="50" spans="1:7" ht="15.75" customHeight="1">
      <c r="A50" s="5">
        <f t="shared" ref="A50:G50" si="93">A42</f>
        <v>1</v>
      </c>
      <c r="B50" s="5">
        <f t="shared" si="93"/>
        <v>-1.5</v>
      </c>
      <c r="C50" s="5">
        <f t="shared" si="93"/>
        <v>0</v>
      </c>
      <c r="D50" s="5">
        <f t="shared" si="93"/>
        <v>0</v>
      </c>
      <c r="E50" s="5">
        <f t="shared" si="93"/>
        <v>0</v>
      </c>
      <c r="F50" s="5">
        <f t="shared" si="93"/>
        <v>0</v>
      </c>
      <c r="G50" s="5">
        <f t="shared" si="93"/>
        <v>-0.83333333333333337</v>
      </c>
    </row>
    <row r="51" spans="1:7" ht="15.75" customHeight="1">
      <c r="A51" s="5">
        <f t="shared" ref="A51:G51" si="94">A43</f>
        <v>0</v>
      </c>
      <c r="B51" s="5">
        <f t="shared" si="94"/>
        <v>1</v>
      </c>
      <c r="C51" s="5">
        <f t="shared" si="94"/>
        <v>-0.4</v>
      </c>
      <c r="D51" s="5">
        <f t="shared" si="94"/>
        <v>0</v>
      </c>
      <c r="E51" s="5">
        <f t="shared" si="94"/>
        <v>-0.4</v>
      </c>
      <c r="F51" s="5">
        <f t="shared" si="94"/>
        <v>0</v>
      </c>
      <c r="G51" s="5">
        <f t="shared" si="94"/>
        <v>-6.6666666666666693E-2</v>
      </c>
    </row>
    <row r="52" spans="1:7" ht="15.75" customHeight="1">
      <c r="A52" s="5">
        <f t="shared" ref="A52:G52" si="95">A44</f>
        <v>0</v>
      </c>
      <c r="B52" s="5">
        <f t="shared" si="95"/>
        <v>0</v>
      </c>
      <c r="C52" s="5">
        <f t="shared" si="95"/>
        <v>1</v>
      </c>
      <c r="D52" s="5">
        <f t="shared" si="95"/>
        <v>0</v>
      </c>
      <c r="E52" s="5">
        <f t="shared" si="95"/>
        <v>-0.11111111111111112</v>
      </c>
      <c r="F52" s="5">
        <f t="shared" si="95"/>
        <v>-0.27777777777777779</v>
      </c>
      <c r="G52" s="5">
        <f t="shared" si="95"/>
        <v>0.81481481481481477</v>
      </c>
    </row>
    <row r="53" spans="1:7" ht="15.75" customHeight="1">
      <c r="A53" s="5">
        <f t="shared" ref="A53:G53" si="96">A45</f>
        <v>0</v>
      </c>
      <c r="B53" s="5">
        <f t="shared" si="96"/>
        <v>0</v>
      </c>
      <c r="C53" s="5">
        <f t="shared" si="96"/>
        <v>0</v>
      </c>
      <c r="D53" s="5">
        <f t="shared" si="96"/>
        <v>1</v>
      </c>
      <c r="E53" s="5">
        <f t="shared" si="96"/>
        <v>-1.5</v>
      </c>
      <c r="F53" s="5">
        <f t="shared" si="96"/>
        <v>0</v>
      </c>
      <c r="G53" s="5">
        <f t="shared" si="96"/>
        <v>-0.66666666666666663</v>
      </c>
    </row>
    <row r="54" spans="1:7" ht="15.75" customHeight="1">
      <c r="A54" s="5">
        <f t="shared" ref="A54:D54" si="97">A46</f>
        <v>0</v>
      </c>
      <c r="B54" s="5">
        <f t="shared" si="97"/>
        <v>0</v>
      </c>
      <c r="C54" s="5">
        <f t="shared" si="97"/>
        <v>0</v>
      </c>
      <c r="D54" s="5">
        <f t="shared" si="97"/>
        <v>0</v>
      </c>
      <c r="E54" s="5">
        <f t="shared" ref="E54:G54" si="98">IF($E$46=1,E46,E46*(1/$E$46))</f>
        <v>1</v>
      </c>
      <c r="F54" s="5">
        <f t="shared" si="98"/>
        <v>-0.54054054054054046</v>
      </c>
      <c r="G54" s="5">
        <f t="shared" si="98"/>
        <v>-0.36036036036036029</v>
      </c>
    </row>
    <row r="55" spans="1:7" ht="15.75" customHeight="1">
      <c r="A55" s="5">
        <f t="shared" ref="A55:D55" si="99">A47</f>
        <v>0</v>
      </c>
      <c r="B55" s="5">
        <f t="shared" si="99"/>
        <v>0</v>
      </c>
      <c r="C55" s="5">
        <f t="shared" si="99"/>
        <v>0</v>
      </c>
      <c r="D55" s="5">
        <f t="shared" si="99"/>
        <v>0</v>
      </c>
      <c r="E55" s="5">
        <f>IF($E$47=0,E47,E47+(E54*(-E47)))</f>
        <v>0</v>
      </c>
      <c r="F55" s="5">
        <f>IF($E$47=0,F47,F47+(F54*(-E47)))</f>
        <v>3.1216216216216219</v>
      </c>
      <c r="G55" s="6">
        <f>IF($E$47=0,G47,G47+(G54*(-E47)))</f>
        <v>2.0810810810810811</v>
      </c>
    </row>
    <row r="56" spans="1:7" ht="15.75" customHeight="1"/>
    <row r="57" spans="1:7" ht="15.75" customHeight="1">
      <c r="A57" s="8" t="s">
        <v>1</v>
      </c>
      <c r="B57" s="8" t="s">
        <v>2</v>
      </c>
      <c r="C57" s="8" t="s">
        <v>3</v>
      </c>
      <c r="D57" s="8" t="s">
        <v>4</v>
      </c>
      <c r="E57" s="8" t="s">
        <v>5</v>
      </c>
      <c r="F57" s="8" t="s">
        <v>6</v>
      </c>
      <c r="G57" s="9" t="s">
        <v>7</v>
      </c>
    </row>
    <row r="58" spans="1:7" ht="15.75" customHeight="1">
      <c r="A58" s="5">
        <f t="shared" ref="A58:G58" si="100">A50</f>
        <v>1</v>
      </c>
      <c r="B58" s="5">
        <f t="shared" si="100"/>
        <v>-1.5</v>
      </c>
      <c r="C58" s="5">
        <f t="shared" si="100"/>
        <v>0</v>
      </c>
      <c r="D58" s="5">
        <f t="shared" si="100"/>
        <v>0</v>
      </c>
      <c r="E58" s="5">
        <f t="shared" si="100"/>
        <v>0</v>
      </c>
      <c r="F58" s="5">
        <f t="shared" si="100"/>
        <v>0</v>
      </c>
      <c r="G58" s="5">
        <f t="shared" si="100"/>
        <v>-0.83333333333333337</v>
      </c>
    </row>
    <row r="59" spans="1:7" ht="15.75" customHeight="1">
      <c r="A59" s="5">
        <f t="shared" ref="A59:G59" si="101">A51</f>
        <v>0</v>
      </c>
      <c r="B59" s="5">
        <f t="shared" si="101"/>
        <v>1</v>
      </c>
      <c r="C59" s="5">
        <f t="shared" si="101"/>
        <v>-0.4</v>
      </c>
      <c r="D59" s="5">
        <f t="shared" si="101"/>
        <v>0</v>
      </c>
      <c r="E59" s="5">
        <f t="shared" si="101"/>
        <v>-0.4</v>
      </c>
      <c r="F59" s="5">
        <f t="shared" si="101"/>
        <v>0</v>
      </c>
      <c r="G59" s="5">
        <f t="shared" si="101"/>
        <v>-6.6666666666666693E-2</v>
      </c>
    </row>
    <row r="60" spans="1:7" ht="15.75" customHeight="1">
      <c r="A60" s="5">
        <f t="shared" ref="A60:G60" si="102">A52</f>
        <v>0</v>
      </c>
      <c r="B60" s="5">
        <f t="shared" si="102"/>
        <v>0</v>
      </c>
      <c r="C60" s="5">
        <f t="shared" si="102"/>
        <v>1</v>
      </c>
      <c r="D60" s="5">
        <f t="shared" si="102"/>
        <v>0</v>
      </c>
      <c r="E60" s="5">
        <f t="shared" si="102"/>
        <v>-0.11111111111111112</v>
      </c>
      <c r="F60" s="5">
        <f t="shared" si="102"/>
        <v>-0.27777777777777779</v>
      </c>
      <c r="G60" s="5">
        <f t="shared" si="102"/>
        <v>0.81481481481481477</v>
      </c>
    </row>
    <row r="61" spans="1:7" ht="15.75" customHeight="1">
      <c r="A61" s="5">
        <f t="shared" ref="A61:G61" si="103">A53</f>
        <v>0</v>
      </c>
      <c r="B61" s="5">
        <f t="shared" si="103"/>
        <v>0</v>
      </c>
      <c r="C61" s="5">
        <f t="shared" si="103"/>
        <v>0</v>
      </c>
      <c r="D61" s="5">
        <f t="shared" si="103"/>
        <v>1</v>
      </c>
      <c r="E61" s="5">
        <f t="shared" si="103"/>
        <v>-1.5</v>
      </c>
      <c r="F61" s="5">
        <f t="shared" si="103"/>
        <v>0</v>
      </c>
      <c r="G61" s="5">
        <f t="shared" si="103"/>
        <v>-0.66666666666666663</v>
      </c>
    </row>
    <row r="62" spans="1:7" ht="15.75" customHeight="1">
      <c r="A62" s="5">
        <f t="shared" ref="A62:G62" si="104">A54</f>
        <v>0</v>
      </c>
      <c r="B62" s="5">
        <f t="shared" si="104"/>
        <v>0</v>
      </c>
      <c r="C62" s="5">
        <f t="shared" si="104"/>
        <v>0</v>
      </c>
      <c r="D62" s="5">
        <f t="shared" si="104"/>
        <v>0</v>
      </c>
      <c r="E62" s="5">
        <f t="shared" si="104"/>
        <v>1</v>
      </c>
      <c r="F62" s="5">
        <f t="shared" si="104"/>
        <v>-0.54054054054054046</v>
      </c>
      <c r="G62" s="5">
        <f t="shared" si="104"/>
        <v>-0.36036036036036029</v>
      </c>
    </row>
    <row r="63" spans="1:7" ht="15.75" customHeight="1">
      <c r="A63" s="5">
        <f t="shared" ref="A63:E63" si="105">A55</f>
        <v>0</v>
      </c>
      <c r="B63" s="5">
        <f t="shared" si="105"/>
        <v>0</v>
      </c>
      <c r="C63" s="5">
        <f t="shared" si="105"/>
        <v>0</v>
      </c>
      <c r="D63" s="5">
        <f t="shared" si="105"/>
        <v>0</v>
      </c>
      <c r="E63" s="5">
        <f t="shared" si="105"/>
        <v>0</v>
      </c>
      <c r="F63" s="5">
        <f t="shared" ref="F63:G63" si="106">IF($F$55=1,F55,F55*(1/$F$55))</f>
        <v>1</v>
      </c>
      <c r="G63" s="5">
        <f t="shared" si="106"/>
        <v>0.66666666666666663</v>
      </c>
    </row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1:R1"/>
  </mergeCells>
  <pageMargins left="0.7" right="0.7" top="0.75" bottom="0.75" header="0" footer="0"/>
  <pageSetup orientation="landscape"/>
  <ignoredErrors>
    <ignoredError sqref="M10:M13 L18:L20 K26:K27 J3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1001"/>
  <sheetViews>
    <sheetView workbookViewId="0">
      <selection activeCell="K5" sqref="K5"/>
    </sheetView>
  </sheetViews>
  <sheetFormatPr baseColWidth="10" defaultColWidth="14.44140625" defaultRowHeight="15" customHeight="1"/>
  <cols>
    <col min="1" max="1" width="13.6640625" customWidth="1"/>
    <col min="2" max="3" width="12.6640625" customWidth="1"/>
    <col min="4" max="4" width="13.6640625" customWidth="1"/>
    <col min="5" max="6" width="12.6640625" customWidth="1"/>
    <col min="7" max="7" width="13.6640625" customWidth="1"/>
    <col min="8" max="26" width="10.6640625" customWidth="1"/>
  </cols>
  <sheetData>
    <row r="2" spans="1:9" ht="14.4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</row>
    <row r="3" spans="1:9" ht="14.4">
      <c r="A3" s="5">
        <f>'Sistema de Ecuaciones'!A3</f>
        <v>2</v>
      </c>
      <c r="B3" s="5">
        <f>'Sistema de Ecuaciones'!B3</f>
        <v>-3</v>
      </c>
      <c r="C3" s="5">
        <f>'Sistema de Ecuaciones'!C3</f>
        <v>0</v>
      </c>
      <c r="D3" s="5">
        <f>'Sistema de Ecuaciones'!D3</f>
        <v>0</v>
      </c>
      <c r="E3" s="5">
        <f>'Sistema de Ecuaciones'!E3</f>
        <v>0</v>
      </c>
      <c r="F3" s="5">
        <f>'Sistema de Ecuaciones'!F3</f>
        <v>0</v>
      </c>
      <c r="G3" s="6">
        <f>'Sistema de Ecuaciones'!G3</f>
        <v>-1.6666666666666667</v>
      </c>
    </row>
    <row r="4" spans="1:9" ht="14.4">
      <c r="A4" s="5">
        <f>'Sistema de Ecuaciones'!A4</f>
        <v>-1</v>
      </c>
      <c r="B4" s="5">
        <f>'Sistema de Ecuaciones'!B4</f>
        <v>4</v>
      </c>
      <c r="C4" s="5">
        <f>'Sistema de Ecuaciones'!C4</f>
        <v>-1</v>
      </c>
      <c r="D4" s="5">
        <f>'Sistema de Ecuaciones'!D4</f>
        <v>0</v>
      </c>
      <c r="E4" s="5">
        <f>'Sistema de Ecuaciones'!E4</f>
        <v>-1</v>
      </c>
      <c r="F4" s="5">
        <f>'Sistema de Ecuaciones'!F4</f>
        <v>0</v>
      </c>
      <c r="G4" s="6">
        <f>'Sistema de Ecuaciones'!G4</f>
        <v>0.66666666666666663</v>
      </c>
    </row>
    <row r="5" spans="1:9" ht="14.4">
      <c r="A5" s="5">
        <f>'Sistema de Ecuaciones'!A5</f>
        <v>0</v>
      </c>
      <c r="B5" s="5">
        <f>'Sistema de Ecuaciones'!B5</f>
        <v>-1</v>
      </c>
      <c r="C5" s="5">
        <f>'Sistema de Ecuaciones'!C5</f>
        <v>4</v>
      </c>
      <c r="D5" s="5">
        <f>'Sistema de Ecuaciones'!D5</f>
        <v>0</v>
      </c>
      <c r="E5" s="5">
        <f>'Sistema de Ecuaciones'!E5</f>
        <v>0</v>
      </c>
      <c r="F5" s="5">
        <f>'Sistema de Ecuaciones'!F5</f>
        <v>-1</v>
      </c>
      <c r="G5" s="6">
        <f>'Sistema de Ecuaciones'!G5</f>
        <v>3</v>
      </c>
    </row>
    <row r="6" spans="1:9" ht="14.4">
      <c r="A6" s="5">
        <f>'Sistema de Ecuaciones'!A6</f>
        <v>0</v>
      </c>
      <c r="B6" s="5">
        <f>'Sistema de Ecuaciones'!B6</f>
        <v>0</v>
      </c>
      <c r="C6" s="5">
        <f>'Sistema de Ecuaciones'!C6</f>
        <v>0</v>
      </c>
      <c r="D6" s="5">
        <f>'Sistema de Ecuaciones'!D6</f>
        <v>2</v>
      </c>
      <c r="E6" s="5">
        <f>'Sistema de Ecuaciones'!E6</f>
        <v>-3</v>
      </c>
      <c r="F6" s="5">
        <f>'Sistema de Ecuaciones'!F6</f>
        <v>0</v>
      </c>
      <c r="G6" s="6">
        <f>'Sistema de Ecuaciones'!G6</f>
        <v>-1.3333333333333333</v>
      </c>
    </row>
    <row r="7" spans="1:9" ht="14.4">
      <c r="A7" s="5">
        <f>'Sistema de Ecuaciones'!A7</f>
        <v>0</v>
      </c>
      <c r="B7" s="5">
        <f>'Sistema de Ecuaciones'!B7</f>
        <v>-1</v>
      </c>
      <c r="C7" s="5">
        <f>'Sistema de Ecuaciones'!C7</f>
        <v>0</v>
      </c>
      <c r="D7" s="5">
        <f>'Sistema de Ecuaciones'!D7</f>
        <v>-1</v>
      </c>
      <c r="E7" s="5">
        <f>'Sistema de Ecuaciones'!E7</f>
        <v>4</v>
      </c>
      <c r="F7" s="5">
        <f>'Sistema de Ecuaciones'!F7</f>
        <v>-1</v>
      </c>
      <c r="G7" s="6">
        <f>'Sistema de Ecuaciones'!G7</f>
        <v>-0.33333333333333331</v>
      </c>
    </row>
    <row r="8" spans="1:9" ht="14.4">
      <c r="A8" s="5">
        <f>'Sistema de Ecuaciones'!A8</f>
        <v>0</v>
      </c>
      <c r="B8" s="5">
        <f>'Sistema de Ecuaciones'!B8</f>
        <v>0</v>
      </c>
      <c r="C8" s="5">
        <f>'Sistema de Ecuaciones'!C8</f>
        <v>-1</v>
      </c>
      <c r="D8" s="5">
        <f>'Sistema de Ecuaciones'!D8</f>
        <v>0</v>
      </c>
      <c r="E8" s="5">
        <f>'Sistema de Ecuaciones'!E8</f>
        <v>-1</v>
      </c>
      <c r="F8" s="5">
        <f>'Sistema de Ecuaciones'!F8</f>
        <v>4</v>
      </c>
      <c r="G8" s="6">
        <f>'Sistema de Ecuaciones'!G8</f>
        <v>1.6666666666666667</v>
      </c>
    </row>
    <row r="10" spans="1:9" ht="14.4">
      <c r="A10" s="41" t="s">
        <v>10</v>
      </c>
      <c r="B10" s="42"/>
      <c r="C10" s="42"/>
      <c r="D10" s="42"/>
      <c r="E10" s="42"/>
      <c r="F10" s="43"/>
      <c r="H10" s="47" t="s">
        <v>8</v>
      </c>
      <c r="I10" s="47"/>
    </row>
    <row r="11" spans="1:9" ht="14.4">
      <c r="A11" s="5">
        <f t="array" ref="A11:F16">MINVERSE(A3:F8)</f>
        <v>0.93506493506493493</v>
      </c>
      <c r="B11" s="5">
        <v>0.87012987012986998</v>
      </c>
      <c r="C11" s="5">
        <v>0.25974025974025972</v>
      </c>
      <c r="D11" s="5">
        <v>0.20779220779220775</v>
      </c>
      <c r="E11" s="5">
        <v>0.4155844155844155</v>
      </c>
      <c r="F11" s="5">
        <v>0.16883116883116883</v>
      </c>
      <c r="H11" s="45" t="s">
        <v>1</v>
      </c>
      <c r="I11" s="46">
        <f t="array" ref="I11:I16">MMULT(A11:F16,G3:G8)</f>
        <v>-0.33333333333333326</v>
      </c>
    </row>
    <row r="12" spans="1:9" ht="14.4">
      <c r="A12" s="5">
        <v>0.29004329004328999</v>
      </c>
      <c r="B12" s="5">
        <v>0.58008658008657998</v>
      </c>
      <c r="C12" s="5">
        <v>0.17316017316017313</v>
      </c>
      <c r="D12" s="5">
        <v>0.1385281385281385</v>
      </c>
      <c r="E12" s="5">
        <v>0.277056277056277</v>
      </c>
      <c r="F12" s="5">
        <v>0.11255411255411255</v>
      </c>
      <c r="H12" s="44" t="s">
        <v>2</v>
      </c>
      <c r="I12" s="5">
        <v>0.33333333333333337</v>
      </c>
    </row>
    <row r="13" spans="1:9" ht="14.4">
      <c r="A13" s="5">
        <v>8.6580086580086577E-2</v>
      </c>
      <c r="B13" s="5">
        <v>0.17316017316017315</v>
      </c>
      <c r="C13" s="5">
        <v>0.32034632034632032</v>
      </c>
      <c r="D13" s="5">
        <v>5.6277056277056266E-2</v>
      </c>
      <c r="E13" s="5">
        <v>0.11255411255411253</v>
      </c>
      <c r="F13" s="5">
        <v>0.10822510822510821</v>
      </c>
      <c r="H13" s="44" t="s">
        <v>3</v>
      </c>
      <c r="I13" s="5">
        <v>0.99999999999999978</v>
      </c>
    </row>
    <row r="14" spans="1:9" ht="14.4">
      <c r="A14" s="5">
        <v>0.20779220779220775</v>
      </c>
      <c r="B14" s="5">
        <v>0.4155844155844155</v>
      </c>
      <c r="C14" s="5">
        <v>0.1688311688311688</v>
      </c>
      <c r="D14" s="5">
        <v>0.93506493506493493</v>
      </c>
      <c r="E14" s="5">
        <v>0.87012987012986998</v>
      </c>
      <c r="F14" s="5">
        <v>0.25974025974025972</v>
      </c>
      <c r="H14" s="44" t="s">
        <v>4</v>
      </c>
      <c r="I14" s="5">
        <v>-0.66666666666666652</v>
      </c>
    </row>
    <row r="15" spans="1:9" ht="14.4">
      <c r="A15" s="5">
        <v>0.1385281385281385</v>
      </c>
      <c r="B15" s="5">
        <v>0.277056277056277</v>
      </c>
      <c r="C15" s="5">
        <v>0.11255411255411253</v>
      </c>
      <c r="D15" s="5">
        <v>0.29004329004328999</v>
      </c>
      <c r="E15" s="5">
        <v>0.58008658008657998</v>
      </c>
      <c r="F15" s="5">
        <v>0.17316017316017315</v>
      </c>
      <c r="H15" s="44" t="s">
        <v>5</v>
      </c>
      <c r="I15" s="5">
        <v>5.5511151231257827E-17</v>
      </c>
    </row>
    <row r="16" spans="1:9" ht="14.4">
      <c r="A16" s="5">
        <v>5.6277056277056266E-2</v>
      </c>
      <c r="B16" s="5">
        <v>0.11255411255411253</v>
      </c>
      <c r="C16" s="5">
        <v>0.10822510822510821</v>
      </c>
      <c r="D16" s="5">
        <v>8.6580086580086563E-2</v>
      </c>
      <c r="E16" s="5">
        <v>0.17316017316017313</v>
      </c>
      <c r="F16" s="5">
        <v>0.32034632034632032</v>
      </c>
      <c r="H16" s="44" t="s">
        <v>6</v>
      </c>
      <c r="I16" s="5">
        <v>0.66666666666666663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0:F10"/>
    <mergeCell ref="H10:I1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topLeftCell="A43" workbookViewId="0">
      <selection sqref="A1:F1"/>
    </sheetView>
  </sheetViews>
  <sheetFormatPr baseColWidth="10" defaultColWidth="14.44140625" defaultRowHeight="15" customHeight="1"/>
  <cols>
    <col min="1" max="10" width="10.6640625" customWidth="1"/>
    <col min="11" max="11" width="14" customWidth="1"/>
    <col min="12" max="25" width="10.6640625" customWidth="1"/>
  </cols>
  <sheetData>
    <row r="1" spans="1:11" ht="14.4">
      <c r="A1" s="34" t="s">
        <v>11</v>
      </c>
      <c r="B1" s="33"/>
      <c r="C1" s="33"/>
      <c r="D1" s="33"/>
      <c r="E1" s="33"/>
      <c r="F1" s="31"/>
      <c r="H1" s="13" t="s">
        <v>12</v>
      </c>
      <c r="J1" s="32" t="s">
        <v>9</v>
      </c>
      <c r="K1" s="31"/>
    </row>
    <row r="2" spans="1:11" ht="14.4">
      <c r="A2" s="5">
        <f t="array" ref="A2:F7">'Sistema de Ecuaciones'!A3:F8</f>
        <v>2</v>
      </c>
      <c r="B2" s="5">
        <v>-3</v>
      </c>
      <c r="C2" s="5">
        <v>0</v>
      </c>
      <c r="D2" s="5">
        <v>0</v>
      </c>
      <c r="E2" s="5">
        <v>0</v>
      </c>
      <c r="F2" s="5">
        <v>0</v>
      </c>
      <c r="H2" s="11">
        <f t="array" ref="H2">MDETERM(A2:F7)</f>
        <v>231.00000000000006</v>
      </c>
      <c r="J2" s="10" t="s">
        <v>1</v>
      </c>
      <c r="K2" s="11">
        <f>H10/$H$2</f>
        <v>-0.3333333333333332</v>
      </c>
    </row>
    <row r="3" spans="1:11" ht="14.4">
      <c r="A3" s="5">
        <v>-1</v>
      </c>
      <c r="B3" s="5">
        <v>4</v>
      </c>
      <c r="C3" s="5">
        <v>-1</v>
      </c>
      <c r="D3" s="5">
        <v>0</v>
      </c>
      <c r="E3" s="5">
        <v>-1</v>
      </c>
      <c r="F3" s="5">
        <v>0</v>
      </c>
      <c r="J3" s="10" t="s">
        <v>2</v>
      </c>
      <c r="K3" s="11">
        <f>H18/$H$2</f>
        <v>0.33333333333333326</v>
      </c>
    </row>
    <row r="4" spans="1:11" ht="14.4">
      <c r="A4" s="5">
        <v>0</v>
      </c>
      <c r="B4" s="5">
        <v>-1</v>
      </c>
      <c r="C4" s="5">
        <v>4</v>
      </c>
      <c r="D4" s="5">
        <v>0</v>
      </c>
      <c r="E4" s="5">
        <v>0</v>
      </c>
      <c r="F4" s="5">
        <v>-1</v>
      </c>
      <c r="J4" s="10" t="s">
        <v>3</v>
      </c>
      <c r="K4" s="11">
        <f>H26/$H$2</f>
        <v>0.99999999999999989</v>
      </c>
    </row>
    <row r="5" spans="1:11" ht="14.4">
      <c r="A5" s="5">
        <v>0</v>
      </c>
      <c r="B5" s="5">
        <v>0</v>
      </c>
      <c r="C5" s="5">
        <v>0</v>
      </c>
      <c r="D5" s="5">
        <v>2</v>
      </c>
      <c r="E5" s="5">
        <v>-3</v>
      </c>
      <c r="F5" s="5">
        <v>0</v>
      </c>
      <c r="J5" s="10" t="s">
        <v>4</v>
      </c>
      <c r="K5" s="11">
        <f>H34/$H$2</f>
        <v>-0.66666666666666663</v>
      </c>
    </row>
    <row r="6" spans="1:11" ht="14.4">
      <c r="A6" s="5">
        <v>0</v>
      </c>
      <c r="B6" s="5">
        <v>-1</v>
      </c>
      <c r="C6" s="5">
        <v>0</v>
      </c>
      <c r="D6" s="5">
        <v>-1</v>
      </c>
      <c r="E6" s="5">
        <v>4</v>
      </c>
      <c r="F6" s="5">
        <v>-1</v>
      </c>
      <c r="J6" s="10" t="s">
        <v>5</v>
      </c>
      <c r="K6" s="11">
        <f>H42/$H$2</f>
        <v>8.5870063665091441E-17</v>
      </c>
    </row>
    <row r="7" spans="1:11" ht="14.4">
      <c r="A7" s="5">
        <v>0</v>
      </c>
      <c r="B7" s="5">
        <v>0</v>
      </c>
      <c r="C7" s="5">
        <v>-1</v>
      </c>
      <c r="D7" s="5">
        <v>0</v>
      </c>
      <c r="E7" s="5">
        <v>-1</v>
      </c>
      <c r="F7" s="5">
        <v>4</v>
      </c>
      <c r="J7" s="10" t="s">
        <v>6</v>
      </c>
      <c r="K7" s="11">
        <f>H50/$H$2</f>
        <v>0.66666666666666663</v>
      </c>
    </row>
    <row r="9" spans="1:11" ht="14.4">
      <c r="A9" s="34" t="s">
        <v>13</v>
      </c>
      <c r="B9" s="33"/>
      <c r="C9" s="33"/>
      <c r="D9" s="33"/>
      <c r="E9" s="33"/>
      <c r="F9" s="31"/>
      <c r="H9" s="13" t="s">
        <v>14</v>
      </c>
    </row>
    <row r="10" spans="1:11" ht="14.4">
      <c r="A10" s="14">
        <f t="array" ref="A10:A15">'Sistema de Ecuaciones'!$G$3:$G$8</f>
        <v>-1.6666666666666667</v>
      </c>
      <c r="B10" s="5">
        <f t="shared" ref="B10:F10" si="0">B2</f>
        <v>-3</v>
      </c>
      <c r="C10" s="5">
        <f t="shared" si="0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H10" s="11">
        <f t="array" ref="H10">MDETERM(A10:F15)</f>
        <v>-76.999999999999986</v>
      </c>
    </row>
    <row r="11" spans="1:11" ht="14.4">
      <c r="A11" s="14">
        <v>0.66666666666666663</v>
      </c>
      <c r="B11" s="5">
        <f t="shared" ref="B11:F11" si="1">B3</f>
        <v>4</v>
      </c>
      <c r="C11" s="5">
        <f t="shared" si="1"/>
        <v>-1</v>
      </c>
      <c r="D11" s="5">
        <f t="shared" si="1"/>
        <v>0</v>
      </c>
      <c r="E11" s="5">
        <f t="shared" si="1"/>
        <v>-1</v>
      </c>
      <c r="F11" s="5">
        <f t="shared" si="1"/>
        <v>0</v>
      </c>
    </row>
    <row r="12" spans="1:11" ht="14.4">
      <c r="A12" s="14">
        <v>3</v>
      </c>
      <c r="B12" s="5">
        <f t="shared" ref="B12:F12" si="2">B4</f>
        <v>-1</v>
      </c>
      <c r="C12" s="5">
        <f t="shared" si="2"/>
        <v>4</v>
      </c>
      <c r="D12" s="5">
        <f t="shared" si="2"/>
        <v>0</v>
      </c>
      <c r="E12" s="5">
        <f t="shared" si="2"/>
        <v>0</v>
      </c>
      <c r="F12" s="5">
        <f t="shared" si="2"/>
        <v>-1</v>
      </c>
    </row>
    <row r="13" spans="1:11" ht="14.4">
      <c r="A13" s="14">
        <v>-1.3333333333333333</v>
      </c>
      <c r="B13" s="5">
        <f t="shared" ref="B13:F13" si="3">B5</f>
        <v>0</v>
      </c>
      <c r="C13" s="5">
        <f t="shared" si="3"/>
        <v>0</v>
      </c>
      <c r="D13" s="5">
        <f t="shared" si="3"/>
        <v>2</v>
      </c>
      <c r="E13" s="5">
        <f t="shared" si="3"/>
        <v>-3</v>
      </c>
      <c r="F13" s="5">
        <f t="shared" si="3"/>
        <v>0</v>
      </c>
    </row>
    <row r="14" spans="1:11" ht="14.4">
      <c r="A14" s="14">
        <v>-0.33333333333333331</v>
      </c>
      <c r="B14" s="5">
        <f t="shared" ref="B14:F14" si="4">B6</f>
        <v>-1</v>
      </c>
      <c r="C14" s="5">
        <f t="shared" si="4"/>
        <v>0</v>
      </c>
      <c r="D14" s="5">
        <f t="shared" si="4"/>
        <v>-1</v>
      </c>
      <c r="E14" s="5">
        <f t="shared" si="4"/>
        <v>4</v>
      </c>
      <c r="F14" s="5">
        <f t="shared" si="4"/>
        <v>-1</v>
      </c>
    </row>
    <row r="15" spans="1:11" ht="14.4">
      <c r="A15" s="14">
        <v>1.6666666666666667</v>
      </c>
      <c r="B15" s="5">
        <f t="shared" ref="B15:F15" si="5">B7</f>
        <v>0</v>
      </c>
      <c r="C15" s="5">
        <f t="shared" si="5"/>
        <v>-1</v>
      </c>
      <c r="D15" s="5">
        <f t="shared" si="5"/>
        <v>0</v>
      </c>
      <c r="E15" s="5">
        <f t="shared" si="5"/>
        <v>-1</v>
      </c>
      <c r="F15" s="5">
        <f t="shared" si="5"/>
        <v>4</v>
      </c>
    </row>
    <row r="17" spans="1:8" ht="14.4">
      <c r="A17" s="34" t="s">
        <v>15</v>
      </c>
      <c r="B17" s="33"/>
      <c r="C17" s="33"/>
      <c r="D17" s="33"/>
      <c r="E17" s="33"/>
      <c r="F17" s="31"/>
      <c r="H17" s="13" t="s">
        <v>16</v>
      </c>
    </row>
    <row r="18" spans="1:8" ht="14.4">
      <c r="A18" s="5">
        <f t="shared" ref="A18:A23" si="6">A2</f>
        <v>2</v>
      </c>
      <c r="B18" s="14">
        <f t="array" ref="B18:B23">'Sistema de Ecuaciones'!$G$3:$G$8</f>
        <v>-1.6666666666666667</v>
      </c>
      <c r="C18" s="5">
        <f t="shared" ref="C18:F18" si="7">C2</f>
        <v>0</v>
      </c>
      <c r="D18" s="5">
        <f t="shared" si="7"/>
        <v>0</v>
      </c>
      <c r="E18" s="5">
        <f t="shared" si="7"/>
        <v>0</v>
      </c>
      <c r="F18" s="5">
        <f t="shared" si="7"/>
        <v>0</v>
      </c>
      <c r="H18" s="11">
        <f t="array" ref="H18">MDETERM(A18:F23)</f>
        <v>77</v>
      </c>
    </row>
    <row r="19" spans="1:8" ht="14.4">
      <c r="A19" s="5">
        <f t="shared" si="6"/>
        <v>-1</v>
      </c>
      <c r="B19" s="14">
        <v>0.66666666666666663</v>
      </c>
      <c r="C19" s="5">
        <f t="shared" ref="C19:F19" si="8">C3</f>
        <v>-1</v>
      </c>
      <c r="D19" s="5">
        <f t="shared" si="8"/>
        <v>0</v>
      </c>
      <c r="E19" s="5">
        <f t="shared" si="8"/>
        <v>-1</v>
      </c>
      <c r="F19" s="5">
        <f t="shared" si="8"/>
        <v>0</v>
      </c>
    </row>
    <row r="20" spans="1:8" ht="14.4">
      <c r="A20" s="5">
        <f t="shared" si="6"/>
        <v>0</v>
      </c>
      <c r="B20" s="14">
        <v>3</v>
      </c>
      <c r="C20" s="5">
        <f t="shared" ref="C20:F20" si="9">C4</f>
        <v>4</v>
      </c>
      <c r="D20" s="5">
        <f t="shared" si="9"/>
        <v>0</v>
      </c>
      <c r="E20" s="5">
        <f t="shared" si="9"/>
        <v>0</v>
      </c>
      <c r="F20" s="5">
        <f t="shared" si="9"/>
        <v>-1</v>
      </c>
    </row>
    <row r="21" spans="1:8" ht="15.75" customHeight="1">
      <c r="A21" s="5">
        <f t="shared" si="6"/>
        <v>0</v>
      </c>
      <c r="B21" s="14">
        <v>-1.3333333333333333</v>
      </c>
      <c r="C21" s="5">
        <f t="shared" ref="C21:F21" si="10">C5</f>
        <v>0</v>
      </c>
      <c r="D21" s="5">
        <f t="shared" si="10"/>
        <v>2</v>
      </c>
      <c r="E21" s="5">
        <f t="shared" si="10"/>
        <v>-3</v>
      </c>
      <c r="F21" s="5">
        <f t="shared" si="10"/>
        <v>0</v>
      </c>
    </row>
    <row r="22" spans="1:8" ht="15.75" customHeight="1">
      <c r="A22" s="5">
        <f t="shared" si="6"/>
        <v>0</v>
      </c>
      <c r="B22" s="14">
        <v>-0.33333333333333331</v>
      </c>
      <c r="C22" s="5">
        <f t="shared" ref="C22:F22" si="11">C6</f>
        <v>0</v>
      </c>
      <c r="D22" s="5">
        <f t="shared" si="11"/>
        <v>-1</v>
      </c>
      <c r="E22" s="5">
        <f t="shared" si="11"/>
        <v>4</v>
      </c>
      <c r="F22" s="5">
        <f t="shared" si="11"/>
        <v>-1</v>
      </c>
    </row>
    <row r="23" spans="1:8" ht="15.75" customHeight="1">
      <c r="A23" s="5">
        <f t="shared" si="6"/>
        <v>0</v>
      </c>
      <c r="B23" s="14">
        <v>1.6666666666666667</v>
      </c>
      <c r="C23" s="5">
        <f t="shared" ref="C23:F23" si="12">C7</f>
        <v>-1</v>
      </c>
      <c r="D23" s="5">
        <f t="shared" si="12"/>
        <v>0</v>
      </c>
      <c r="E23" s="5">
        <f t="shared" si="12"/>
        <v>-1</v>
      </c>
      <c r="F23" s="5">
        <f t="shared" si="12"/>
        <v>4</v>
      </c>
    </row>
    <row r="24" spans="1:8" ht="15.75" customHeight="1"/>
    <row r="25" spans="1:8" ht="15.75" customHeight="1">
      <c r="A25" s="34" t="s">
        <v>17</v>
      </c>
      <c r="B25" s="33"/>
      <c r="C25" s="33"/>
      <c r="D25" s="33"/>
      <c r="E25" s="33"/>
      <c r="F25" s="31"/>
      <c r="H25" s="13" t="s">
        <v>18</v>
      </c>
    </row>
    <row r="26" spans="1:8" ht="15.75" customHeight="1">
      <c r="A26" s="5">
        <f t="shared" ref="A26:B26" si="13">A2</f>
        <v>2</v>
      </c>
      <c r="B26" s="5">
        <f t="shared" si="13"/>
        <v>-3</v>
      </c>
      <c r="C26" s="14">
        <f t="array" ref="C26:C31">'Sistema de Ecuaciones'!$G$3:$G$8</f>
        <v>-1.6666666666666667</v>
      </c>
      <c r="D26" s="5">
        <f t="shared" ref="D26:F26" si="14">D2</f>
        <v>0</v>
      </c>
      <c r="E26" s="5">
        <f t="shared" si="14"/>
        <v>0</v>
      </c>
      <c r="F26" s="5">
        <f t="shared" si="14"/>
        <v>0</v>
      </c>
      <c r="H26" s="11">
        <f t="array" ref="H26">MDETERM(A26:F31)</f>
        <v>231.00000000000003</v>
      </c>
    </row>
    <row r="27" spans="1:8" ht="15.75" customHeight="1">
      <c r="A27" s="5">
        <f t="shared" ref="A27:B27" si="15">A3</f>
        <v>-1</v>
      </c>
      <c r="B27" s="5">
        <f t="shared" si="15"/>
        <v>4</v>
      </c>
      <c r="C27" s="14">
        <v>0.66666666666666663</v>
      </c>
      <c r="D27" s="5">
        <f t="shared" ref="D27:F27" si="16">D3</f>
        <v>0</v>
      </c>
      <c r="E27" s="5">
        <f t="shared" si="16"/>
        <v>-1</v>
      </c>
      <c r="F27" s="5">
        <f t="shared" si="16"/>
        <v>0</v>
      </c>
    </row>
    <row r="28" spans="1:8" ht="15.75" customHeight="1">
      <c r="A28" s="5">
        <f t="shared" ref="A28:B28" si="17">A4</f>
        <v>0</v>
      </c>
      <c r="B28" s="5">
        <f t="shared" si="17"/>
        <v>-1</v>
      </c>
      <c r="C28" s="14">
        <v>3</v>
      </c>
      <c r="D28" s="5">
        <f t="shared" ref="D28:F28" si="18">D4</f>
        <v>0</v>
      </c>
      <c r="E28" s="5">
        <f t="shared" si="18"/>
        <v>0</v>
      </c>
      <c r="F28" s="5">
        <f t="shared" si="18"/>
        <v>-1</v>
      </c>
    </row>
    <row r="29" spans="1:8" ht="15.75" customHeight="1">
      <c r="A29" s="5">
        <f t="shared" ref="A29:B29" si="19">A5</f>
        <v>0</v>
      </c>
      <c r="B29" s="5">
        <f t="shared" si="19"/>
        <v>0</v>
      </c>
      <c r="C29" s="14">
        <v>-1.3333333333333333</v>
      </c>
      <c r="D29" s="5">
        <f t="shared" ref="D29:F29" si="20">D5</f>
        <v>2</v>
      </c>
      <c r="E29" s="5">
        <f t="shared" si="20"/>
        <v>-3</v>
      </c>
      <c r="F29" s="5">
        <f t="shared" si="20"/>
        <v>0</v>
      </c>
    </row>
    <row r="30" spans="1:8" ht="15.75" customHeight="1">
      <c r="A30" s="5">
        <f t="shared" ref="A30:B30" si="21">A6</f>
        <v>0</v>
      </c>
      <c r="B30" s="5">
        <f t="shared" si="21"/>
        <v>-1</v>
      </c>
      <c r="C30" s="14">
        <v>-0.33333333333333331</v>
      </c>
      <c r="D30" s="5">
        <f t="shared" ref="D30:F30" si="22">D6</f>
        <v>-1</v>
      </c>
      <c r="E30" s="5">
        <f t="shared" si="22"/>
        <v>4</v>
      </c>
      <c r="F30" s="5">
        <f t="shared" si="22"/>
        <v>-1</v>
      </c>
    </row>
    <row r="31" spans="1:8" ht="15.75" customHeight="1">
      <c r="A31" s="5">
        <f t="shared" ref="A31:B31" si="23">A7</f>
        <v>0</v>
      </c>
      <c r="B31" s="5">
        <f t="shared" si="23"/>
        <v>0</v>
      </c>
      <c r="C31" s="14">
        <v>1.6666666666666667</v>
      </c>
      <c r="D31" s="5">
        <f t="shared" ref="D31:F31" si="24">D7</f>
        <v>0</v>
      </c>
      <c r="E31" s="5">
        <f t="shared" si="24"/>
        <v>-1</v>
      </c>
      <c r="F31" s="5">
        <f t="shared" si="24"/>
        <v>4</v>
      </c>
    </row>
    <row r="32" spans="1:8" ht="15.75" customHeight="1"/>
    <row r="33" spans="1:8" ht="15.75" customHeight="1">
      <c r="A33" s="34" t="s">
        <v>19</v>
      </c>
      <c r="B33" s="33"/>
      <c r="C33" s="33"/>
      <c r="D33" s="33"/>
      <c r="E33" s="33"/>
      <c r="F33" s="31"/>
      <c r="H33" s="13" t="s">
        <v>20</v>
      </c>
    </row>
    <row r="34" spans="1:8" ht="15.75" customHeight="1">
      <c r="A34" s="5">
        <f t="shared" ref="A34:A39" si="25">A2</f>
        <v>2</v>
      </c>
      <c r="B34" s="5">
        <f t="shared" ref="B34:C34" si="26">B10</f>
        <v>-3</v>
      </c>
      <c r="C34" s="5">
        <f t="shared" si="26"/>
        <v>0</v>
      </c>
      <c r="D34" s="14">
        <f t="array" ref="D34:D39">'Sistema de Ecuaciones'!$G$3:$G$8</f>
        <v>-1.6666666666666667</v>
      </c>
      <c r="E34" s="5">
        <f t="shared" ref="E34:F34" si="27">E10</f>
        <v>0</v>
      </c>
      <c r="F34" s="5">
        <f t="shared" si="27"/>
        <v>0</v>
      </c>
      <c r="H34" s="11">
        <f t="array" ref="H34">MDETERM(A34:F39)</f>
        <v>-154.00000000000003</v>
      </c>
    </row>
    <row r="35" spans="1:8" ht="15.75" customHeight="1">
      <c r="A35" s="5">
        <f t="shared" si="25"/>
        <v>-1</v>
      </c>
      <c r="B35" s="5">
        <f t="shared" ref="B35:C35" si="28">B11</f>
        <v>4</v>
      </c>
      <c r="C35" s="5">
        <f t="shared" si="28"/>
        <v>-1</v>
      </c>
      <c r="D35" s="14">
        <v>0.66666666666666663</v>
      </c>
      <c r="E35" s="5">
        <f t="shared" ref="E35:F35" si="29">E11</f>
        <v>-1</v>
      </c>
      <c r="F35" s="5">
        <f t="shared" si="29"/>
        <v>0</v>
      </c>
    </row>
    <row r="36" spans="1:8" ht="15.75" customHeight="1">
      <c r="A36" s="5">
        <f t="shared" si="25"/>
        <v>0</v>
      </c>
      <c r="B36" s="5">
        <f t="shared" ref="B36:C36" si="30">B12</f>
        <v>-1</v>
      </c>
      <c r="C36" s="5">
        <f t="shared" si="30"/>
        <v>4</v>
      </c>
      <c r="D36" s="14">
        <v>3</v>
      </c>
      <c r="E36" s="5">
        <f t="shared" ref="E36:F36" si="31">E12</f>
        <v>0</v>
      </c>
      <c r="F36" s="5">
        <f t="shared" si="31"/>
        <v>-1</v>
      </c>
    </row>
    <row r="37" spans="1:8" ht="15.75" customHeight="1">
      <c r="A37" s="5">
        <f t="shared" si="25"/>
        <v>0</v>
      </c>
      <c r="B37" s="5">
        <f t="shared" ref="B37:C37" si="32">B13</f>
        <v>0</v>
      </c>
      <c r="C37" s="5">
        <f t="shared" si="32"/>
        <v>0</v>
      </c>
      <c r="D37" s="14">
        <v>-1.3333333333333333</v>
      </c>
      <c r="E37" s="5">
        <f t="shared" ref="E37:F37" si="33">E13</f>
        <v>-3</v>
      </c>
      <c r="F37" s="5">
        <f t="shared" si="33"/>
        <v>0</v>
      </c>
    </row>
    <row r="38" spans="1:8" ht="15.75" customHeight="1">
      <c r="A38" s="5">
        <f t="shared" si="25"/>
        <v>0</v>
      </c>
      <c r="B38" s="5">
        <f t="shared" ref="B38:C38" si="34">B14</f>
        <v>-1</v>
      </c>
      <c r="C38" s="5">
        <f t="shared" si="34"/>
        <v>0</v>
      </c>
      <c r="D38" s="14">
        <v>-0.33333333333333331</v>
      </c>
      <c r="E38" s="5">
        <f t="shared" ref="E38:F38" si="35">E14</f>
        <v>4</v>
      </c>
      <c r="F38" s="5">
        <f t="shared" si="35"/>
        <v>-1</v>
      </c>
    </row>
    <row r="39" spans="1:8" ht="15.75" customHeight="1">
      <c r="A39" s="5">
        <f t="shared" si="25"/>
        <v>0</v>
      </c>
      <c r="B39" s="5">
        <f t="shared" ref="B39:C39" si="36">B15</f>
        <v>0</v>
      </c>
      <c r="C39" s="5">
        <f t="shared" si="36"/>
        <v>-1</v>
      </c>
      <c r="D39" s="14">
        <v>1.6666666666666667</v>
      </c>
      <c r="E39" s="5">
        <f t="shared" ref="E39:F39" si="37">E15</f>
        <v>-1</v>
      </c>
      <c r="F39" s="5">
        <f t="shared" si="37"/>
        <v>4</v>
      </c>
    </row>
    <row r="40" spans="1:8" ht="15.75" customHeight="1"/>
    <row r="41" spans="1:8" ht="15.75" customHeight="1">
      <c r="A41" s="34" t="s">
        <v>21</v>
      </c>
      <c r="B41" s="33"/>
      <c r="C41" s="33"/>
      <c r="D41" s="33"/>
      <c r="E41" s="33"/>
      <c r="F41" s="31"/>
      <c r="H41" s="13" t="s">
        <v>22</v>
      </c>
    </row>
    <row r="42" spans="1:8" ht="15.75" customHeight="1">
      <c r="A42" s="5">
        <f t="shared" ref="A42:D42" si="38">A2</f>
        <v>2</v>
      </c>
      <c r="B42" s="5">
        <f t="shared" si="38"/>
        <v>-3</v>
      </c>
      <c r="C42" s="5">
        <f t="shared" si="38"/>
        <v>0</v>
      </c>
      <c r="D42" s="5">
        <f t="shared" si="38"/>
        <v>0</v>
      </c>
      <c r="E42" s="14">
        <f t="array" ref="E42:E47">'Sistema de Ecuaciones'!$G$3:$G$8</f>
        <v>-1.6666666666666667</v>
      </c>
      <c r="F42" s="5">
        <f t="shared" ref="F42:F47" si="39">F18</f>
        <v>0</v>
      </c>
      <c r="H42" s="11">
        <f t="array" ref="H42">MDETERM(A42:F47)</f>
        <v>1.9835984706636129E-14</v>
      </c>
    </row>
    <row r="43" spans="1:8" ht="15.75" customHeight="1">
      <c r="A43" s="5">
        <f t="shared" ref="A43:D43" si="40">A3</f>
        <v>-1</v>
      </c>
      <c r="B43" s="5">
        <f t="shared" si="40"/>
        <v>4</v>
      </c>
      <c r="C43" s="5">
        <f t="shared" si="40"/>
        <v>-1</v>
      </c>
      <c r="D43" s="5">
        <f t="shared" si="40"/>
        <v>0</v>
      </c>
      <c r="E43" s="14">
        <v>0.66666666666666663</v>
      </c>
      <c r="F43" s="5">
        <f t="shared" si="39"/>
        <v>0</v>
      </c>
    </row>
    <row r="44" spans="1:8" ht="15.75" customHeight="1">
      <c r="A44" s="5">
        <f t="shared" ref="A44:D44" si="41">A4</f>
        <v>0</v>
      </c>
      <c r="B44" s="5">
        <f t="shared" si="41"/>
        <v>-1</v>
      </c>
      <c r="C44" s="5">
        <f t="shared" si="41"/>
        <v>4</v>
      </c>
      <c r="D44" s="5">
        <f t="shared" si="41"/>
        <v>0</v>
      </c>
      <c r="E44" s="14">
        <v>3</v>
      </c>
      <c r="F44" s="5">
        <f t="shared" si="39"/>
        <v>-1</v>
      </c>
    </row>
    <row r="45" spans="1:8" ht="15.75" customHeight="1">
      <c r="A45" s="5">
        <f t="shared" ref="A45:D45" si="42">A5</f>
        <v>0</v>
      </c>
      <c r="B45" s="5">
        <f t="shared" si="42"/>
        <v>0</v>
      </c>
      <c r="C45" s="5">
        <f t="shared" si="42"/>
        <v>0</v>
      </c>
      <c r="D45" s="5">
        <f t="shared" si="42"/>
        <v>2</v>
      </c>
      <c r="E45" s="14">
        <v>-1.3333333333333333</v>
      </c>
      <c r="F45" s="5">
        <f t="shared" si="39"/>
        <v>0</v>
      </c>
    </row>
    <row r="46" spans="1:8" ht="15.75" customHeight="1">
      <c r="A46" s="5">
        <f t="shared" ref="A46:D46" si="43">A6</f>
        <v>0</v>
      </c>
      <c r="B46" s="5">
        <f t="shared" si="43"/>
        <v>-1</v>
      </c>
      <c r="C46" s="5">
        <f t="shared" si="43"/>
        <v>0</v>
      </c>
      <c r="D46" s="5">
        <f t="shared" si="43"/>
        <v>-1</v>
      </c>
      <c r="E46" s="14">
        <v>-0.33333333333333331</v>
      </c>
      <c r="F46" s="5">
        <f t="shared" si="39"/>
        <v>-1</v>
      </c>
    </row>
    <row r="47" spans="1:8" ht="15.75" customHeight="1">
      <c r="A47" s="5">
        <f t="shared" ref="A47:D47" si="44">A7</f>
        <v>0</v>
      </c>
      <c r="B47" s="5">
        <f t="shared" si="44"/>
        <v>0</v>
      </c>
      <c r="C47" s="5">
        <f t="shared" si="44"/>
        <v>-1</v>
      </c>
      <c r="D47" s="5">
        <f t="shared" si="44"/>
        <v>0</v>
      </c>
      <c r="E47" s="14">
        <v>1.6666666666666667</v>
      </c>
      <c r="F47" s="5">
        <f t="shared" si="39"/>
        <v>4</v>
      </c>
    </row>
    <row r="48" spans="1:8" ht="15.75" customHeight="1"/>
    <row r="49" spans="1:8" ht="15.75" customHeight="1">
      <c r="A49" s="34" t="s">
        <v>23</v>
      </c>
      <c r="B49" s="33"/>
      <c r="C49" s="33"/>
      <c r="D49" s="33"/>
      <c r="E49" s="33"/>
      <c r="F49" s="31"/>
      <c r="H49" s="13" t="s">
        <v>24</v>
      </c>
    </row>
    <row r="50" spans="1:8" ht="15.75" customHeight="1">
      <c r="A50" s="5">
        <f t="shared" ref="A50:E50" si="45">A2</f>
        <v>2</v>
      </c>
      <c r="B50" s="5">
        <f t="shared" si="45"/>
        <v>-3</v>
      </c>
      <c r="C50" s="5">
        <f t="shared" si="45"/>
        <v>0</v>
      </c>
      <c r="D50" s="5">
        <f t="shared" si="45"/>
        <v>0</v>
      </c>
      <c r="E50" s="5">
        <f t="shared" si="45"/>
        <v>0</v>
      </c>
      <c r="F50" s="14">
        <f t="array" ref="F50:F55">'Sistema de Ecuaciones'!$G$3:$G$8</f>
        <v>-1.6666666666666667</v>
      </c>
      <c r="H50" s="11">
        <f t="array" ref="H50">MDETERM(A50:F55)</f>
        <v>154.00000000000003</v>
      </c>
    </row>
    <row r="51" spans="1:8" ht="15.75" customHeight="1">
      <c r="A51" s="5">
        <f t="shared" ref="A51:E51" si="46">A3</f>
        <v>-1</v>
      </c>
      <c r="B51" s="5">
        <f t="shared" si="46"/>
        <v>4</v>
      </c>
      <c r="C51" s="5">
        <f t="shared" si="46"/>
        <v>-1</v>
      </c>
      <c r="D51" s="5">
        <f t="shared" si="46"/>
        <v>0</v>
      </c>
      <c r="E51" s="5">
        <f t="shared" si="46"/>
        <v>-1</v>
      </c>
      <c r="F51" s="14">
        <v>0.66666666666666663</v>
      </c>
    </row>
    <row r="52" spans="1:8" ht="15.75" customHeight="1">
      <c r="A52" s="5">
        <f t="shared" ref="A52:E52" si="47">A4</f>
        <v>0</v>
      </c>
      <c r="B52" s="5">
        <f t="shared" si="47"/>
        <v>-1</v>
      </c>
      <c r="C52" s="5">
        <f t="shared" si="47"/>
        <v>4</v>
      </c>
      <c r="D52" s="5">
        <f t="shared" si="47"/>
        <v>0</v>
      </c>
      <c r="E52" s="5">
        <f t="shared" si="47"/>
        <v>0</v>
      </c>
      <c r="F52" s="14">
        <v>3</v>
      </c>
    </row>
    <row r="53" spans="1:8" ht="15.75" customHeight="1">
      <c r="A53" s="5">
        <f t="shared" ref="A53:E53" si="48">A5</f>
        <v>0</v>
      </c>
      <c r="B53" s="5">
        <f t="shared" si="48"/>
        <v>0</v>
      </c>
      <c r="C53" s="5">
        <f t="shared" si="48"/>
        <v>0</v>
      </c>
      <c r="D53" s="5">
        <f t="shared" si="48"/>
        <v>2</v>
      </c>
      <c r="E53" s="5">
        <f t="shared" si="48"/>
        <v>-3</v>
      </c>
      <c r="F53" s="14">
        <v>-1.3333333333333333</v>
      </c>
    </row>
    <row r="54" spans="1:8" ht="15.75" customHeight="1">
      <c r="A54" s="5">
        <f t="shared" ref="A54:E54" si="49">A6</f>
        <v>0</v>
      </c>
      <c r="B54" s="5">
        <f t="shared" si="49"/>
        <v>-1</v>
      </c>
      <c r="C54" s="5">
        <f t="shared" si="49"/>
        <v>0</v>
      </c>
      <c r="D54" s="5">
        <f t="shared" si="49"/>
        <v>-1</v>
      </c>
      <c r="E54" s="5">
        <f t="shared" si="49"/>
        <v>4</v>
      </c>
      <c r="F54" s="14">
        <v>-0.33333333333333331</v>
      </c>
    </row>
    <row r="55" spans="1:8" ht="15.75" customHeight="1">
      <c r="A55" s="5">
        <f t="shared" ref="A55:E55" si="50">A7</f>
        <v>0</v>
      </c>
      <c r="B55" s="5">
        <f t="shared" si="50"/>
        <v>0</v>
      </c>
      <c r="C55" s="5">
        <f t="shared" si="50"/>
        <v>-1</v>
      </c>
      <c r="D55" s="5">
        <f t="shared" si="50"/>
        <v>0</v>
      </c>
      <c r="E55" s="5">
        <f t="shared" si="50"/>
        <v>-1</v>
      </c>
      <c r="F55" s="14">
        <v>1.6666666666666667</v>
      </c>
    </row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41:F41"/>
    <mergeCell ref="A49:F49"/>
    <mergeCell ref="J1:K1"/>
    <mergeCell ref="A1:F1"/>
    <mergeCell ref="A9:F9"/>
    <mergeCell ref="A17:F17"/>
    <mergeCell ref="A25:F25"/>
    <mergeCell ref="A33:F3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000"/>
  <sheetViews>
    <sheetView topLeftCell="A37" workbookViewId="0">
      <selection activeCell="K55" sqref="K55"/>
    </sheetView>
  </sheetViews>
  <sheetFormatPr baseColWidth="10" defaultColWidth="14.44140625" defaultRowHeight="15" customHeight="1"/>
  <cols>
    <col min="1" max="6" width="10.6640625" customWidth="1"/>
    <col min="7" max="7" width="13.44140625" customWidth="1"/>
    <col min="8" max="8" width="10.6640625" customWidth="1"/>
    <col min="9" max="9" width="12.6640625" customWidth="1"/>
    <col min="10" max="26" width="10.6640625" customWidth="1"/>
  </cols>
  <sheetData>
    <row r="2" spans="1:9" ht="14.4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I2" s="24" t="s">
        <v>25</v>
      </c>
    </row>
    <row r="3" spans="1:9" ht="14.4">
      <c r="A3" s="15">
        <f>'Sistema de Ecuaciones'!A3</f>
        <v>2</v>
      </c>
      <c r="B3" s="15">
        <f>'Sistema de Ecuaciones'!B3</f>
        <v>-3</v>
      </c>
      <c r="C3" s="15">
        <f>'Sistema de Ecuaciones'!C3</f>
        <v>0</v>
      </c>
      <c r="D3" s="15">
        <f>'Sistema de Ecuaciones'!D3</f>
        <v>0</v>
      </c>
      <c r="E3" s="15">
        <f>'Sistema de Ecuaciones'!E3</f>
        <v>0</v>
      </c>
      <c r="F3" s="15">
        <f>'Sistema de Ecuaciones'!F3</f>
        <v>0</v>
      </c>
      <c r="G3" s="16">
        <f>'Sistema de Ecuaciones'!G3</f>
        <v>-1.6666666666666667</v>
      </c>
      <c r="I3" s="17">
        <v>1</v>
      </c>
    </row>
    <row r="4" spans="1:9" ht="14.4">
      <c r="A4" s="15">
        <f>'Sistema de Ecuaciones'!A4</f>
        <v>-1</v>
      </c>
      <c r="B4" s="15">
        <f>'Sistema de Ecuaciones'!B4</f>
        <v>4</v>
      </c>
      <c r="C4" s="15">
        <f>'Sistema de Ecuaciones'!C4</f>
        <v>-1</v>
      </c>
      <c r="D4" s="15">
        <f>'Sistema de Ecuaciones'!D4</f>
        <v>0</v>
      </c>
      <c r="E4" s="15">
        <f>'Sistema de Ecuaciones'!E4</f>
        <v>-1</v>
      </c>
      <c r="F4" s="15">
        <f>'Sistema de Ecuaciones'!F4</f>
        <v>0</v>
      </c>
      <c r="G4" s="16">
        <f>'Sistema de Ecuaciones'!G4</f>
        <v>0.66666666666666663</v>
      </c>
    </row>
    <row r="5" spans="1:9" ht="14.4">
      <c r="A5" s="15">
        <f>'Sistema de Ecuaciones'!A5</f>
        <v>0</v>
      </c>
      <c r="B5" s="15">
        <f>'Sistema de Ecuaciones'!B5</f>
        <v>-1</v>
      </c>
      <c r="C5" s="15">
        <f>'Sistema de Ecuaciones'!C5</f>
        <v>4</v>
      </c>
      <c r="D5" s="15">
        <f>'Sistema de Ecuaciones'!D5</f>
        <v>0</v>
      </c>
      <c r="E5" s="15">
        <f>'Sistema de Ecuaciones'!E5</f>
        <v>0</v>
      </c>
      <c r="F5" s="15">
        <f>'Sistema de Ecuaciones'!F5</f>
        <v>-1</v>
      </c>
      <c r="G5" s="16">
        <f>'Sistema de Ecuaciones'!G5</f>
        <v>3</v>
      </c>
    </row>
    <row r="6" spans="1:9" ht="14.4">
      <c r="A6" s="15">
        <f>'Sistema de Ecuaciones'!A6</f>
        <v>0</v>
      </c>
      <c r="B6" s="15">
        <f>'Sistema de Ecuaciones'!B6</f>
        <v>0</v>
      </c>
      <c r="C6" s="15">
        <f>'Sistema de Ecuaciones'!C6</f>
        <v>0</v>
      </c>
      <c r="D6" s="15">
        <f>'Sistema de Ecuaciones'!D6</f>
        <v>2</v>
      </c>
      <c r="E6" s="15">
        <f>'Sistema de Ecuaciones'!E6</f>
        <v>-3</v>
      </c>
      <c r="F6" s="15">
        <f>'Sistema de Ecuaciones'!F6</f>
        <v>0</v>
      </c>
      <c r="G6" s="16">
        <f>'Sistema de Ecuaciones'!G6</f>
        <v>-1.3333333333333333</v>
      </c>
    </row>
    <row r="7" spans="1:9" ht="14.4">
      <c r="A7" s="15">
        <f>'Sistema de Ecuaciones'!A7</f>
        <v>0</v>
      </c>
      <c r="B7" s="15">
        <f>'Sistema de Ecuaciones'!B7</f>
        <v>-1</v>
      </c>
      <c r="C7" s="15">
        <f>'Sistema de Ecuaciones'!C7</f>
        <v>0</v>
      </c>
      <c r="D7" s="15">
        <f>'Sistema de Ecuaciones'!D7</f>
        <v>-1</v>
      </c>
      <c r="E7" s="15">
        <f>'Sistema de Ecuaciones'!E7</f>
        <v>4</v>
      </c>
      <c r="F7" s="15">
        <f>'Sistema de Ecuaciones'!F7</f>
        <v>-1</v>
      </c>
      <c r="G7" s="16">
        <f>'Sistema de Ecuaciones'!G7</f>
        <v>-0.33333333333333331</v>
      </c>
    </row>
    <row r="8" spans="1:9" ht="14.4">
      <c r="A8" s="15">
        <f>'Sistema de Ecuaciones'!A8</f>
        <v>0</v>
      </c>
      <c r="B8" s="15">
        <f>'Sistema de Ecuaciones'!B8</f>
        <v>0</v>
      </c>
      <c r="C8" s="15">
        <f>'Sistema de Ecuaciones'!C8</f>
        <v>-1</v>
      </c>
      <c r="D8" s="15">
        <f>'Sistema de Ecuaciones'!D8</f>
        <v>0</v>
      </c>
      <c r="E8" s="15">
        <f>'Sistema de Ecuaciones'!E8</f>
        <v>-1</v>
      </c>
      <c r="F8" s="15">
        <f>'Sistema de Ecuaciones'!F8</f>
        <v>4</v>
      </c>
      <c r="G8" s="16">
        <f>'Sistema de Ecuaciones'!G8</f>
        <v>1.6666666666666667</v>
      </c>
    </row>
    <row r="10" spans="1:9" ht="14.4">
      <c r="A10" s="24" t="s">
        <v>1</v>
      </c>
      <c r="B10" s="24" t="s">
        <v>2</v>
      </c>
      <c r="C10" s="24" t="s">
        <v>3</v>
      </c>
      <c r="D10" s="24" t="s">
        <v>4</v>
      </c>
      <c r="E10" s="24" t="s">
        <v>5</v>
      </c>
      <c r="F10" s="24" t="s">
        <v>6</v>
      </c>
      <c r="G10" s="24" t="s">
        <v>7</v>
      </c>
      <c r="I10" s="24" t="s">
        <v>25</v>
      </c>
    </row>
    <row r="11" spans="1:9" ht="14.4">
      <c r="A11" s="15">
        <f>($B$12*A3-$A$12*B11)/$I$11</f>
        <v>5</v>
      </c>
      <c r="B11" s="15">
        <f t="shared" ref="B11:G11" si="0">B3</f>
        <v>-3</v>
      </c>
      <c r="C11" s="15">
        <f t="shared" si="0"/>
        <v>0</v>
      </c>
      <c r="D11" s="15">
        <f t="shared" si="0"/>
        <v>0</v>
      </c>
      <c r="E11" s="15">
        <f t="shared" si="0"/>
        <v>0</v>
      </c>
      <c r="F11" s="15">
        <f t="shared" si="0"/>
        <v>0</v>
      </c>
      <c r="G11" s="16">
        <f t="shared" si="0"/>
        <v>-1.6666666666666667</v>
      </c>
      <c r="I11" s="17">
        <f>A3</f>
        <v>2</v>
      </c>
    </row>
    <row r="12" spans="1:9" ht="14.4">
      <c r="A12" s="18">
        <v>0</v>
      </c>
      <c r="B12" s="15">
        <f t="shared" ref="B12:G12" si="1">($A$3*B4-$A$4*B3)/$I$3</f>
        <v>5</v>
      </c>
      <c r="C12" s="15">
        <f t="shared" si="1"/>
        <v>-2</v>
      </c>
      <c r="D12" s="15">
        <f t="shared" si="1"/>
        <v>0</v>
      </c>
      <c r="E12" s="15">
        <f t="shared" si="1"/>
        <v>-2</v>
      </c>
      <c r="F12" s="15">
        <f t="shared" si="1"/>
        <v>0</v>
      </c>
      <c r="G12" s="15">
        <f t="shared" si="1"/>
        <v>-0.33333333333333348</v>
      </c>
    </row>
    <row r="13" spans="1:9" ht="14.4">
      <c r="A13" s="18">
        <v>0</v>
      </c>
      <c r="B13" s="15">
        <f t="shared" ref="B13:G13" si="2">($A$3*B5-$A$5*B3)/$I$3</f>
        <v>-2</v>
      </c>
      <c r="C13" s="15">
        <f t="shared" si="2"/>
        <v>8</v>
      </c>
      <c r="D13" s="15">
        <f t="shared" si="2"/>
        <v>0</v>
      </c>
      <c r="E13" s="15">
        <f t="shared" si="2"/>
        <v>0</v>
      </c>
      <c r="F13" s="15">
        <f t="shared" si="2"/>
        <v>-2</v>
      </c>
      <c r="G13" s="15">
        <f t="shared" si="2"/>
        <v>6</v>
      </c>
    </row>
    <row r="14" spans="1:9" ht="14.4">
      <c r="A14" s="18">
        <v>0</v>
      </c>
      <c r="B14" s="15">
        <f t="shared" ref="B14:G14" si="3">($A$3*B6-$A$6*B3)/$I$3</f>
        <v>0</v>
      </c>
      <c r="C14" s="15">
        <f t="shared" si="3"/>
        <v>0</v>
      </c>
      <c r="D14" s="15">
        <f t="shared" si="3"/>
        <v>4</v>
      </c>
      <c r="E14" s="15">
        <f t="shared" si="3"/>
        <v>-6</v>
      </c>
      <c r="F14" s="15">
        <f t="shared" si="3"/>
        <v>0</v>
      </c>
      <c r="G14" s="15">
        <f t="shared" si="3"/>
        <v>-2.6666666666666665</v>
      </c>
    </row>
    <row r="15" spans="1:9" ht="14.4">
      <c r="A15" s="18">
        <v>0</v>
      </c>
      <c r="B15" s="15">
        <f t="shared" ref="B15:G15" si="4">($A$3*B7-$A$7*B3)/$I$3</f>
        <v>-2</v>
      </c>
      <c r="C15" s="15">
        <f t="shared" si="4"/>
        <v>0</v>
      </c>
      <c r="D15" s="15">
        <f t="shared" si="4"/>
        <v>-2</v>
      </c>
      <c r="E15" s="15">
        <f t="shared" si="4"/>
        <v>8</v>
      </c>
      <c r="F15" s="15">
        <f t="shared" si="4"/>
        <v>-2</v>
      </c>
      <c r="G15" s="15">
        <f t="shared" si="4"/>
        <v>-0.66666666666666663</v>
      </c>
    </row>
    <row r="16" spans="1:9" ht="14.4">
      <c r="A16" s="18">
        <v>0</v>
      </c>
      <c r="B16" s="15">
        <f t="shared" ref="B16:G16" si="5">($A$3*B8-$A$8*B3)/$I$3</f>
        <v>0</v>
      </c>
      <c r="C16" s="15">
        <f t="shared" si="5"/>
        <v>-2</v>
      </c>
      <c r="D16" s="15">
        <f t="shared" si="5"/>
        <v>0</v>
      </c>
      <c r="E16" s="15">
        <f t="shared" si="5"/>
        <v>-2</v>
      </c>
      <c r="F16" s="15">
        <f t="shared" si="5"/>
        <v>8</v>
      </c>
      <c r="G16" s="15">
        <f t="shared" si="5"/>
        <v>3.3333333333333335</v>
      </c>
    </row>
    <row r="18" spans="1:9" ht="14.4">
      <c r="A18" s="24" t="s">
        <v>1</v>
      </c>
      <c r="B18" s="24" t="s">
        <v>2</v>
      </c>
      <c r="C18" s="24" t="s">
        <v>3</v>
      </c>
      <c r="D18" s="24" t="s">
        <v>4</v>
      </c>
      <c r="E18" s="24" t="s">
        <v>5</v>
      </c>
      <c r="F18" s="24" t="s">
        <v>6</v>
      </c>
      <c r="G18" s="24" t="s">
        <v>7</v>
      </c>
      <c r="I18" s="24" t="s">
        <v>25</v>
      </c>
    </row>
    <row r="19" spans="1:9" ht="14.4">
      <c r="A19" s="5">
        <f>($A$11*B20-$A$20*B19)/$I$19</f>
        <v>18</v>
      </c>
      <c r="B19" s="17">
        <v>0</v>
      </c>
      <c r="C19" s="5">
        <f t="shared" ref="C19:G19" si="6">($B$12*C11-$B$11*C12)/$I$11</f>
        <v>-3</v>
      </c>
      <c r="D19" s="5">
        <f t="shared" si="6"/>
        <v>0</v>
      </c>
      <c r="E19" s="5">
        <f t="shared" si="6"/>
        <v>-3</v>
      </c>
      <c r="F19" s="5">
        <f t="shared" si="6"/>
        <v>0</v>
      </c>
      <c r="G19" s="5">
        <f t="shared" si="6"/>
        <v>-4.666666666666667</v>
      </c>
      <c r="I19" s="17">
        <f>A11</f>
        <v>5</v>
      </c>
    </row>
    <row r="20" spans="1:9" ht="14.4">
      <c r="A20" s="5">
        <f t="shared" ref="A20:A24" si="7">A12</f>
        <v>0</v>
      </c>
      <c r="B20" s="15">
        <f>($B$12*C21-$B$21*C20)/$I$19</f>
        <v>18</v>
      </c>
      <c r="C20" s="15">
        <f t="shared" ref="C20:G20" si="8">C12</f>
        <v>-2</v>
      </c>
      <c r="D20" s="15">
        <f t="shared" si="8"/>
        <v>0</v>
      </c>
      <c r="E20" s="15">
        <f t="shared" si="8"/>
        <v>-2</v>
      </c>
      <c r="F20" s="15">
        <f t="shared" si="8"/>
        <v>0</v>
      </c>
      <c r="G20" s="15">
        <f t="shared" si="8"/>
        <v>-0.33333333333333348</v>
      </c>
    </row>
    <row r="21" spans="1:9" ht="15.75" customHeight="1">
      <c r="A21" s="5">
        <f t="shared" si="7"/>
        <v>0</v>
      </c>
      <c r="B21" s="18">
        <v>0</v>
      </c>
      <c r="C21" s="15">
        <f t="shared" ref="C21:G21" si="9">($B$12*C13-$B$13*C12)/$I$11</f>
        <v>18</v>
      </c>
      <c r="D21" s="15">
        <f t="shared" si="9"/>
        <v>0</v>
      </c>
      <c r="E21" s="15">
        <f t="shared" si="9"/>
        <v>-2</v>
      </c>
      <c r="F21" s="15">
        <f t="shared" si="9"/>
        <v>-5</v>
      </c>
      <c r="G21" s="15">
        <f t="shared" si="9"/>
        <v>14.666666666666666</v>
      </c>
    </row>
    <row r="22" spans="1:9" ht="15.75" customHeight="1">
      <c r="A22" s="5">
        <f t="shared" si="7"/>
        <v>0</v>
      </c>
      <c r="B22" s="18">
        <v>0</v>
      </c>
      <c r="C22" s="15">
        <f t="shared" ref="C22:G22" si="10">($B$12*C14-$B$14*C12)/$I$11</f>
        <v>0</v>
      </c>
      <c r="D22" s="15">
        <f t="shared" si="10"/>
        <v>10</v>
      </c>
      <c r="E22" s="15">
        <f t="shared" si="10"/>
        <v>-15</v>
      </c>
      <c r="F22" s="15">
        <f t="shared" si="10"/>
        <v>0</v>
      </c>
      <c r="G22" s="15">
        <f t="shared" si="10"/>
        <v>-6.6666666666666661</v>
      </c>
    </row>
    <row r="23" spans="1:9" ht="15.75" customHeight="1">
      <c r="A23" s="5">
        <f t="shared" si="7"/>
        <v>0</v>
      </c>
      <c r="B23" s="18">
        <v>0</v>
      </c>
      <c r="C23" s="15">
        <f t="shared" ref="C23:G23" si="11">($B$12*C15-$B$15*C12)/$I$11</f>
        <v>-2</v>
      </c>
      <c r="D23" s="15">
        <f t="shared" si="11"/>
        <v>-5</v>
      </c>
      <c r="E23" s="15">
        <f t="shared" si="11"/>
        <v>18</v>
      </c>
      <c r="F23" s="15">
        <f t="shared" si="11"/>
        <v>-5</v>
      </c>
      <c r="G23" s="15">
        <f t="shared" si="11"/>
        <v>-2</v>
      </c>
    </row>
    <row r="24" spans="1:9" ht="15.75" customHeight="1">
      <c r="A24" s="5">
        <f t="shared" si="7"/>
        <v>0</v>
      </c>
      <c r="B24" s="18">
        <v>0</v>
      </c>
      <c r="C24" s="15">
        <f t="shared" ref="C24:G24" si="12">($B$12*C16-$B$16*C12)/$I$11</f>
        <v>-5</v>
      </c>
      <c r="D24" s="15">
        <f t="shared" si="12"/>
        <v>0</v>
      </c>
      <c r="E24" s="15">
        <f t="shared" si="12"/>
        <v>-5</v>
      </c>
      <c r="F24" s="15">
        <f t="shared" si="12"/>
        <v>20</v>
      </c>
      <c r="G24" s="15">
        <f t="shared" si="12"/>
        <v>8.3333333333333339</v>
      </c>
    </row>
    <row r="25" spans="1:9" ht="15.75" customHeight="1"/>
    <row r="26" spans="1:9" ht="15.75" customHeight="1">
      <c r="A26" s="24" t="s">
        <v>1</v>
      </c>
      <c r="B26" s="24" t="s">
        <v>2</v>
      </c>
      <c r="C26" s="24" t="s">
        <v>3</v>
      </c>
      <c r="D26" s="24" t="s">
        <v>4</v>
      </c>
      <c r="E26" s="24" t="s">
        <v>5</v>
      </c>
      <c r="F26" s="24" t="s">
        <v>6</v>
      </c>
      <c r="G26" s="24" t="s">
        <v>7</v>
      </c>
      <c r="I26" s="24" t="s">
        <v>25</v>
      </c>
    </row>
    <row r="27" spans="1:9" ht="15.75" customHeight="1">
      <c r="A27" s="5">
        <f>($C$21*B28-$C$30*B27)/$I$27</f>
        <v>36</v>
      </c>
      <c r="B27" s="5">
        <f>B19</f>
        <v>0</v>
      </c>
      <c r="C27" s="17">
        <v>0</v>
      </c>
      <c r="D27" s="5">
        <f t="shared" ref="D27:G27" si="13">($C$21*D19-$C$19*D21)/$I$19</f>
        <v>0</v>
      </c>
      <c r="E27" s="5">
        <f t="shared" si="13"/>
        <v>-12</v>
      </c>
      <c r="F27" s="5">
        <f t="shared" si="13"/>
        <v>-3</v>
      </c>
      <c r="G27" s="5">
        <f t="shared" si="13"/>
        <v>-8</v>
      </c>
      <c r="I27" s="17">
        <f>A19</f>
        <v>18</v>
      </c>
    </row>
    <row r="28" spans="1:9" ht="15.75" customHeight="1">
      <c r="A28" s="5">
        <f t="shared" ref="A28:A32" si="14">A20</f>
        <v>0</v>
      </c>
      <c r="B28" s="5">
        <f>($C$21*C29-$C$30*C28)/$I$27</f>
        <v>36</v>
      </c>
      <c r="C28" s="17">
        <v>0</v>
      </c>
      <c r="D28" s="5">
        <f t="shared" ref="D28:G28" si="15">($C$21*D20-$C$20*D21)/$I$19</f>
        <v>0</v>
      </c>
      <c r="E28" s="5">
        <f t="shared" si="15"/>
        <v>-8</v>
      </c>
      <c r="F28" s="5">
        <f t="shared" si="15"/>
        <v>-2</v>
      </c>
      <c r="G28" s="5">
        <f t="shared" si="15"/>
        <v>4.6666666666666661</v>
      </c>
    </row>
    <row r="29" spans="1:9" ht="15.75" customHeight="1">
      <c r="A29" s="5">
        <f t="shared" si="14"/>
        <v>0</v>
      </c>
      <c r="B29" s="5">
        <f t="shared" ref="B29:B32" si="16">B21</f>
        <v>0</v>
      </c>
      <c r="C29" s="15">
        <f>($C$21*D30-$C$30*D29)/$I$27</f>
        <v>36</v>
      </c>
      <c r="D29" s="15">
        <f t="shared" ref="D29:G29" si="17">D21</f>
        <v>0</v>
      </c>
      <c r="E29" s="15">
        <f t="shared" si="17"/>
        <v>-2</v>
      </c>
      <c r="F29" s="15">
        <f t="shared" si="17"/>
        <v>-5</v>
      </c>
      <c r="G29" s="15">
        <f t="shared" si="17"/>
        <v>14.666666666666666</v>
      </c>
    </row>
    <row r="30" spans="1:9" ht="15.75" customHeight="1">
      <c r="A30" s="5">
        <f t="shared" si="14"/>
        <v>0</v>
      </c>
      <c r="B30" s="5">
        <f t="shared" si="16"/>
        <v>0</v>
      </c>
      <c r="C30" s="18">
        <v>0</v>
      </c>
      <c r="D30" s="15">
        <f t="shared" ref="D30:G30" si="18">($C$21*D22-$C$22*D21)/$I$19</f>
        <v>36</v>
      </c>
      <c r="E30" s="15">
        <f t="shared" si="18"/>
        <v>-54</v>
      </c>
      <c r="F30" s="15">
        <f t="shared" si="18"/>
        <v>0</v>
      </c>
      <c r="G30" s="15">
        <f t="shared" si="18"/>
        <v>-23.999999999999996</v>
      </c>
    </row>
    <row r="31" spans="1:9" ht="15.75" customHeight="1">
      <c r="A31" s="5">
        <f t="shared" si="14"/>
        <v>0</v>
      </c>
      <c r="B31" s="5">
        <f t="shared" si="16"/>
        <v>0</v>
      </c>
      <c r="C31" s="18">
        <v>0</v>
      </c>
      <c r="D31" s="15">
        <f t="shared" ref="D31:G31" si="19">($C$21*D23-$C$23*D21)/$I$19</f>
        <v>-18</v>
      </c>
      <c r="E31" s="15">
        <f t="shared" si="19"/>
        <v>64</v>
      </c>
      <c r="F31" s="15">
        <f t="shared" si="19"/>
        <v>-20</v>
      </c>
      <c r="G31" s="15">
        <f t="shared" si="19"/>
        <v>-1.3333333333333335</v>
      </c>
    </row>
    <row r="32" spans="1:9" ht="15.75" customHeight="1">
      <c r="A32" s="5">
        <f t="shared" si="14"/>
        <v>0</v>
      </c>
      <c r="B32" s="5">
        <f t="shared" si="16"/>
        <v>0</v>
      </c>
      <c r="C32" s="18">
        <v>0</v>
      </c>
      <c r="D32" s="15">
        <f t="shared" ref="D32:G32" si="20">($C$21*D24-$C$24*D21)/$I$19</f>
        <v>0</v>
      </c>
      <c r="E32" s="15">
        <f t="shared" si="20"/>
        <v>-20</v>
      </c>
      <c r="F32" s="15">
        <f t="shared" si="20"/>
        <v>67</v>
      </c>
      <c r="G32" s="15">
        <f t="shared" si="20"/>
        <v>44.666666666666664</v>
      </c>
    </row>
    <row r="33" spans="1:9" ht="15.75" customHeight="1"/>
    <row r="34" spans="1:9" ht="15.75" customHeight="1">
      <c r="A34" s="24" t="s">
        <v>1</v>
      </c>
      <c r="B34" s="24" t="s">
        <v>2</v>
      </c>
      <c r="C34" s="24" t="s">
        <v>3</v>
      </c>
      <c r="D34" s="24" t="s">
        <v>4</v>
      </c>
      <c r="E34" s="24" t="s">
        <v>5</v>
      </c>
      <c r="F34" s="24" t="s">
        <v>6</v>
      </c>
      <c r="G34" s="24" t="s">
        <v>7</v>
      </c>
      <c r="I34" s="24" t="s">
        <v>25</v>
      </c>
    </row>
    <row r="35" spans="1:9" ht="15.75" customHeight="1">
      <c r="A35" s="19">
        <f>($D$30*B36-$D$39*B35)/$I$35</f>
        <v>74</v>
      </c>
      <c r="B35" s="5">
        <f t="shared" ref="B35:D35" si="21">B27</f>
        <v>0</v>
      </c>
      <c r="C35" s="5">
        <f t="shared" si="21"/>
        <v>0</v>
      </c>
      <c r="D35" s="5">
        <f t="shared" si="21"/>
        <v>0</v>
      </c>
      <c r="E35" s="5">
        <f t="shared" ref="E35:G35" si="22">($D$30*E27-$D$27*E30)/$I$27</f>
        <v>-24</v>
      </c>
      <c r="F35" s="5">
        <f t="shared" si="22"/>
        <v>-6</v>
      </c>
      <c r="G35" s="5">
        <f t="shared" si="22"/>
        <v>-16</v>
      </c>
      <c r="I35" s="17">
        <f>A27</f>
        <v>36</v>
      </c>
    </row>
    <row r="36" spans="1:9" ht="15.75" customHeight="1">
      <c r="A36" s="5">
        <f t="shared" ref="A36:A40" si="23">A28</f>
        <v>0</v>
      </c>
      <c r="B36" s="19">
        <f>($D$30*C37-$D$39*C36)/$I$35</f>
        <v>74</v>
      </c>
      <c r="C36" s="5">
        <f t="shared" ref="C36:D36" si="24">C28</f>
        <v>0</v>
      </c>
      <c r="D36" s="5">
        <f t="shared" si="24"/>
        <v>0</v>
      </c>
      <c r="E36" s="5">
        <f t="shared" ref="E36:G36" si="25">($D$30*E28-$D$28*E30)/$I$27</f>
        <v>-16</v>
      </c>
      <c r="F36" s="5">
        <f t="shared" si="25"/>
        <v>-4</v>
      </c>
      <c r="G36" s="5">
        <f t="shared" si="25"/>
        <v>9.3333333333333321</v>
      </c>
    </row>
    <row r="37" spans="1:9" ht="15.75" customHeight="1">
      <c r="A37" s="5">
        <f t="shared" si="23"/>
        <v>0</v>
      </c>
      <c r="B37" s="5">
        <f t="shared" ref="B37:B40" si="26">B29</f>
        <v>0</v>
      </c>
      <c r="C37" s="19">
        <f>($D$30*D38-$D$39*D37)/$I$35</f>
        <v>74</v>
      </c>
      <c r="D37" s="5">
        <f>D29</f>
        <v>0</v>
      </c>
      <c r="E37" s="5">
        <f t="shared" ref="E37:G37" si="27">($D$30*E29-$D$29*E30)/$I$27</f>
        <v>-4</v>
      </c>
      <c r="F37" s="5">
        <f t="shared" si="27"/>
        <v>-10</v>
      </c>
      <c r="G37" s="5">
        <f t="shared" si="27"/>
        <v>29.333333333333332</v>
      </c>
    </row>
    <row r="38" spans="1:9" ht="15.75" customHeight="1">
      <c r="A38" s="5">
        <f t="shared" si="23"/>
        <v>0</v>
      </c>
      <c r="B38" s="5">
        <f t="shared" si="26"/>
        <v>0</v>
      </c>
      <c r="C38" s="5">
        <f t="shared" ref="C38:C40" si="28">C30</f>
        <v>0</v>
      </c>
      <c r="D38" s="20">
        <f>($D$30*E39-$D$39*E38)/$I$35</f>
        <v>74</v>
      </c>
      <c r="E38" s="15">
        <f t="shared" ref="E38:G38" si="29">E30</f>
        <v>-54</v>
      </c>
      <c r="F38" s="15">
        <f t="shared" si="29"/>
        <v>0</v>
      </c>
      <c r="G38" s="15">
        <f t="shared" si="29"/>
        <v>-23.999999999999996</v>
      </c>
    </row>
    <row r="39" spans="1:9" ht="15.75" customHeight="1">
      <c r="A39" s="5">
        <f t="shared" si="23"/>
        <v>0</v>
      </c>
      <c r="B39" s="5">
        <f t="shared" si="26"/>
        <v>0</v>
      </c>
      <c r="C39" s="5">
        <f t="shared" si="28"/>
        <v>0</v>
      </c>
      <c r="D39" s="18">
        <v>0</v>
      </c>
      <c r="E39" s="15">
        <f t="shared" ref="E39:G39" si="30">($D$30*E31-$D$31*E30)/$I$27</f>
        <v>74</v>
      </c>
      <c r="F39" s="15">
        <f t="shared" si="30"/>
        <v>-40</v>
      </c>
      <c r="G39" s="15">
        <f t="shared" si="30"/>
        <v>-26.666666666666664</v>
      </c>
    </row>
    <row r="40" spans="1:9" ht="15.75" customHeight="1">
      <c r="A40" s="5">
        <f t="shared" si="23"/>
        <v>0</v>
      </c>
      <c r="B40" s="5">
        <f t="shared" si="26"/>
        <v>0</v>
      </c>
      <c r="C40" s="5">
        <f t="shared" si="28"/>
        <v>0</v>
      </c>
      <c r="D40" s="15">
        <f>D32</f>
        <v>0</v>
      </c>
      <c r="E40" s="15">
        <f t="shared" ref="E40:G40" si="31">($D$30*E32-$D$32*E30)/$I$27</f>
        <v>-40</v>
      </c>
      <c r="F40" s="15">
        <f t="shared" si="31"/>
        <v>134</v>
      </c>
      <c r="G40" s="15">
        <f t="shared" si="31"/>
        <v>89.333333333333329</v>
      </c>
    </row>
    <row r="41" spans="1:9" ht="15.75" customHeight="1"/>
    <row r="42" spans="1:9" ht="15.75" customHeight="1">
      <c r="A42" s="24" t="s">
        <v>1</v>
      </c>
      <c r="B42" s="24" t="s">
        <v>2</v>
      </c>
      <c r="C42" s="24" t="s">
        <v>3</v>
      </c>
      <c r="D42" s="24" t="s">
        <v>4</v>
      </c>
      <c r="E42" s="24" t="s">
        <v>5</v>
      </c>
      <c r="F42" s="24" t="s">
        <v>6</v>
      </c>
      <c r="G42" s="24" t="s">
        <v>7</v>
      </c>
      <c r="I42" s="24" t="s">
        <v>25</v>
      </c>
    </row>
    <row r="43" spans="1:9" ht="15.75" customHeight="1">
      <c r="A43" s="19">
        <f>($E$39*B44-$E$48*B43)/$I$43</f>
        <v>231</v>
      </c>
      <c r="B43" s="5">
        <f t="shared" ref="B43:D43" si="32">B35</f>
        <v>0</v>
      </c>
      <c r="C43" s="5">
        <f t="shared" si="32"/>
        <v>0</v>
      </c>
      <c r="D43" s="5">
        <f t="shared" si="32"/>
        <v>0</v>
      </c>
      <c r="E43" s="17">
        <v>0</v>
      </c>
      <c r="F43" s="5">
        <f t="shared" ref="F43:G43" si="33">($E$39*F35-$E$35*F39)/$I$35</f>
        <v>-39</v>
      </c>
      <c r="G43" s="5">
        <f t="shared" si="33"/>
        <v>-50.666666666666664</v>
      </c>
      <c r="I43" s="17">
        <f>A35</f>
        <v>74</v>
      </c>
    </row>
    <row r="44" spans="1:9" ht="15.75" customHeight="1">
      <c r="A44" s="5">
        <f t="shared" ref="A44:A48" si="34">A36</f>
        <v>0</v>
      </c>
      <c r="B44" s="19">
        <f>($E$39*C45-$E$48*C44)/$I$43</f>
        <v>231</v>
      </c>
      <c r="C44" s="5">
        <f t="shared" ref="C44:D44" si="35">C36</f>
        <v>0</v>
      </c>
      <c r="D44" s="5">
        <f t="shared" si="35"/>
        <v>0</v>
      </c>
      <c r="E44" s="17">
        <v>0</v>
      </c>
      <c r="F44" s="5">
        <f t="shared" ref="F44:G44" si="36">($E$39*F36-$E$36*F39)/$I$35</f>
        <v>-26</v>
      </c>
      <c r="G44" s="5">
        <f t="shared" si="36"/>
        <v>7.333333333333333</v>
      </c>
    </row>
    <row r="45" spans="1:9" ht="15.75" customHeight="1">
      <c r="A45" s="5">
        <f t="shared" si="34"/>
        <v>0</v>
      </c>
      <c r="B45" s="5">
        <f t="shared" ref="B45:B48" si="37">B37</f>
        <v>0</v>
      </c>
      <c r="C45" s="19">
        <f>($E$39*D46-$E$48*D45)/$I$43</f>
        <v>231</v>
      </c>
      <c r="D45" s="5">
        <f>D37</f>
        <v>0</v>
      </c>
      <c r="E45" s="17">
        <v>0</v>
      </c>
      <c r="F45" s="5">
        <f t="shared" ref="F45:G45" si="38">($E$39*F37-$E$37*F39)/$I$35</f>
        <v>-25</v>
      </c>
      <c r="G45" s="5">
        <f t="shared" si="38"/>
        <v>57.333333333333336</v>
      </c>
    </row>
    <row r="46" spans="1:9" ht="15.75" customHeight="1">
      <c r="A46" s="5">
        <f t="shared" si="34"/>
        <v>0</v>
      </c>
      <c r="B46" s="5">
        <f t="shared" si="37"/>
        <v>0</v>
      </c>
      <c r="C46" s="5">
        <f t="shared" ref="C46:C48" si="39">C38</f>
        <v>0</v>
      </c>
      <c r="D46" s="19">
        <f>($E$39*E47-$E$48*E46)/$I$43</f>
        <v>231</v>
      </c>
      <c r="E46" s="17">
        <v>0</v>
      </c>
      <c r="F46" s="5">
        <f t="shared" ref="F46:G46" si="40">($E$39*F38-$E$38*F39)/$I$35</f>
        <v>-60</v>
      </c>
      <c r="G46" s="5">
        <f t="shared" si="40"/>
        <v>-89.333333333333314</v>
      </c>
    </row>
    <row r="47" spans="1:9" ht="15.75" customHeight="1">
      <c r="A47" s="5">
        <f t="shared" si="34"/>
        <v>0</v>
      </c>
      <c r="B47" s="5">
        <f t="shared" si="37"/>
        <v>0</v>
      </c>
      <c r="C47" s="5">
        <f t="shared" si="39"/>
        <v>0</v>
      </c>
      <c r="D47" s="5">
        <f t="shared" ref="D47:D48" si="41">D39</f>
        <v>0</v>
      </c>
      <c r="E47" s="19">
        <f>($E$39*F48-$E$48*F47)/$I$43</f>
        <v>231</v>
      </c>
      <c r="F47" s="5">
        <f t="shared" ref="F47:G47" si="42">F39</f>
        <v>-40</v>
      </c>
      <c r="G47" s="5">
        <f t="shared" si="42"/>
        <v>-26.666666666666664</v>
      </c>
    </row>
    <row r="48" spans="1:9" ht="15.75" customHeight="1">
      <c r="A48" s="5">
        <f t="shared" si="34"/>
        <v>0</v>
      </c>
      <c r="B48" s="5">
        <f t="shared" si="37"/>
        <v>0</v>
      </c>
      <c r="C48" s="5">
        <f t="shared" si="39"/>
        <v>0</v>
      </c>
      <c r="D48" s="5">
        <f t="shared" si="41"/>
        <v>0</v>
      </c>
      <c r="E48" s="17">
        <v>0</v>
      </c>
      <c r="F48" s="21">
        <f t="shared" ref="F48:G48" si="43">($E$39*F40-$E$40*F39)/$I$35</f>
        <v>231</v>
      </c>
      <c r="G48" s="21">
        <f t="shared" si="43"/>
        <v>154</v>
      </c>
    </row>
    <row r="49" spans="1:10" ht="15.75" customHeight="1"/>
    <row r="50" spans="1:10" ht="15.75" customHeight="1">
      <c r="A50" s="24" t="s">
        <v>1</v>
      </c>
      <c r="B50" s="24" t="s">
        <v>2</v>
      </c>
      <c r="C50" s="24" t="s">
        <v>3</v>
      </c>
      <c r="D50" s="24" t="s">
        <v>4</v>
      </c>
      <c r="E50" s="24" t="s">
        <v>5</v>
      </c>
      <c r="F50" s="24" t="s">
        <v>6</v>
      </c>
      <c r="G50" s="24" t="s">
        <v>7</v>
      </c>
      <c r="I50" s="47" t="s">
        <v>8</v>
      </c>
      <c r="J50" s="47"/>
    </row>
    <row r="51" spans="1:10" ht="15.75" customHeight="1">
      <c r="A51" s="5">
        <f t="shared" ref="A51:E51" si="44">A43</f>
        <v>231</v>
      </c>
      <c r="B51" s="5">
        <f t="shared" si="44"/>
        <v>0</v>
      </c>
      <c r="C51" s="5">
        <f t="shared" si="44"/>
        <v>0</v>
      </c>
      <c r="D51" s="5">
        <f t="shared" si="44"/>
        <v>0</v>
      </c>
      <c r="E51" s="5">
        <f t="shared" si="44"/>
        <v>0</v>
      </c>
      <c r="F51" s="17">
        <v>0</v>
      </c>
      <c r="G51" s="5">
        <f t="shared" ref="G51:G55" si="45">($F$48*G43-F43*$G$48)/$I$43</f>
        <v>-77</v>
      </c>
      <c r="I51" s="45" t="s">
        <v>1</v>
      </c>
      <c r="J51" s="46">
        <f>G51/$F$56</f>
        <v>-0.33333333333333331</v>
      </c>
    </row>
    <row r="52" spans="1:10" ht="15.75" customHeight="1">
      <c r="A52" s="5">
        <f t="shared" ref="A52:E52" si="46">A44</f>
        <v>0</v>
      </c>
      <c r="B52" s="5">
        <f t="shared" si="46"/>
        <v>231</v>
      </c>
      <c r="C52" s="5">
        <f t="shared" si="46"/>
        <v>0</v>
      </c>
      <c r="D52" s="5">
        <f t="shared" si="46"/>
        <v>0</v>
      </c>
      <c r="E52" s="5">
        <f t="shared" si="46"/>
        <v>0</v>
      </c>
      <c r="F52" s="17">
        <v>0</v>
      </c>
      <c r="G52" s="5">
        <f t="shared" si="45"/>
        <v>77</v>
      </c>
      <c r="I52" s="44" t="s">
        <v>2</v>
      </c>
      <c r="J52" s="5">
        <f>G52/$F$56</f>
        <v>0.33333333333333331</v>
      </c>
    </row>
    <row r="53" spans="1:10" ht="15.75" customHeight="1">
      <c r="A53" s="5">
        <f t="shared" ref="A53:E53" si="47">A45</f>
        <v>0</v>
      </c>
      <c r="B53" s="5">
        <f t="shared" si="47"/>
        <v>0</v>
      </c>
      <c r="C53" s="5">
        <f t="shared" si="47"/>
        <v>231</v>
      </c>
      <c r="D53" s="5">
        <f t="shared" si="47"/>
        <v>0</v>
      </c>
      <c r="E53" s="5">
        <f t="shared" si="47"/>
        <v>0</v>
      </c>
      <c r="F53" s="17">
        <v>0</v>
      </c>
      <c r="G53" s="5">
        <f t="shared" si="45"/>
        <v>231</v>
      </c>
      <c r="I53" s="44" t="s">
        <v>3</v>
      </c>
      <c r="J53" s="5">
        <f>G53/$F$56</f>
        <v>1</v>
      </c>
    </row>
    <row r="54" spans="1:10" ht="15.75" customHeight="1">
      <c r="A54" s="5">
        <f t="shared" ref="A54:E54" si="48">A46</f>
        <v>0</v>
      </c>
      <c r="B54" s="5">
        <f t="shared" si="48"/>
        <v>0</v>
      </c>
      <c r="C54" s="5">
        <f t="shared" si="48"/>
        <v>0</v>
      </c>
      <c r="D54" s="5">
        <f t="shared" si="48"/>
        <v>231</v>
      </c>
      <c r="E54" s="5">
        <f t="shared" si="48"/>
        <v>0</v>
      </c>
      <c r="F54" s="17">
        <v>0</v>
      </c>
      <c r="G54" s="5">
        <f t="shared" si="45"/>
        <v>-153.99999999999994</v>
      </c>
      <c r="I54" s="44" t="s">
        <v>4</v>
      </c>
      <c r="J54" s="5">
        <f>G54/$F$56</f>
        <v>-0.66666666666666641</v>
      </c>
    </row>
    <row r="55" spans="1:10" ht="15.75" customHeight="1">
      <c r="A55" s="5">
        <f t="shared" ref="A55:E55" si="49">A47</f>
        <v>0</v>
      </c>
      <c r="B55" s="5">
        <f t="shared" si="49"/>
        <v>0</v>
      </c>
      <c r="C55" s="5">
        <f t="shared" si="49"/>
        <v>0</v>
      </c>
      <c r="D55" s="5">
        <f t="shared" si="49"/>
        <v>0</v>
      </c>
      <c r="E55" s="5">
        <f t="shared" si="49"/>
        <v>231</v>
      </c>
      <c r="F55" s="17">
        <v>0</v>
      </c>
      <c r="G55" s="5">
        <f t="shared" si="45"/>
        <v>1.2290468942877409E-14</v>
      </c>
      <c r="I55" s="44" t="s">
        <v>5</v>
      </c>
      <c r="J55" s="5">
        <f>G55/$F$56</f>
        <v>5.3205493259209563E-17</v>
      </c>
    </row>
    <row r="56" spans="1:10" ht="15.75" customHeight="1">
      <c r="A56" s="5">
        <f t="shared" ref="A56:G56" si="50">A48</f>
        <v>0</v>
      </c>
      <c r="B56" s="5">
        <f t="shared" si="50"/>
        <v>0</v>
      </c>
      <c r="C56" s="5">
        <f t="shared" si="50"/>
        <v>0</v>
      </c>
      <c r="D56" s="5">
        <f t="shared" si="50"/>
        <v>0</v>
      </c>
      <c r="E56" s="5">
        <f t="shared" si="50"/>
        <v>0</v>
      </c>
      <c r="F56" s="5">
        <f t="shared" si="50"/>
        <v>231</v>
      </c>
      <c r="G56" s="5">
        <f t="shared" si="50"/>
        <v>154</v>
      </c>
      <c r="I56" s="44" t="s">
        <v>6</v>
      </c>
      <c r="J56" s="5">
        <f>G56/$F$56</f>
        <v>0.66666666666666663</v>
      </c>
    </row>
    <row r="57" spans="1:10" ht="15.75" customHeight="1"/>
    <row r="58" spans="1:10" ht="15.75" customHeight="1"/>
    <row r="59" spans="1:10" ht="15.75" customHeight="1"/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50:J50"/>
  </mergeCells>
  <pageMargins left="0.7" right="0.7" top="0.75" bottom="0.75" header="0" footer="0"/>
  <pageSetup orientation="landscape"/>
  <ignoredErrors>
    <ignoredError sqref="E4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3"/>
  <sheetViews>
    <sheetView workbookViewId="0">
      <selection activeCell="K14" sqref="K14"/>
    </sheetView>
  </sheetViews>
  <sheetFormatPr baseColWidth="10" defaultColWidth="14.44140625" defaultRowHeight="15" customHeight="1"/>
  <cols>
    <col min="1" max="1" width="10.6640625" customWidth="1"/>
    <col min="2" max="2" width="12.109375" bestFit="1" customWidth="1"/>
    <col min="3" max="3" width="13.109375" bestFit="1" customWidth="1"/>
    <col min="4" max="4" width="11.44140625" bestFit="1" customWidth="1"/>
    <col min="5" max="6" width="12.109375" bestFit="1" customWidth="1"/>
    <col min="7" max="7" width="11.44140625" bestFit="1" customWidth="1"/>
    <col min="8" max="8" width="12.33203125" customWidth="1"/>
    <col min="9" max="26" width="10.6640625" customWidth="1"/>
  </cols>
  <sheetData>
    <row r="1" spans="1:11" ht="15" customHeight="1">
      <c r="A1" s="37" t="s">
        <v>1</v>
      </c>
      <c r="B1" s="37" t="s">
        <v>2</v>
      </c>
      <c r="C1" s="37" t="s">
        <v>3</v>
      </c>
      <c r="D1" s="37" t="s">
        <v>4</v>
      </c>
      <c r="E1" s="37" t="s">
        <v>5</v>
      </c>
      <c r="F1" s="37" t="s">
        <v>6</v>
      </c>
      <c r="G1" s="37" t="s">
        <v>35</v>
      </c>
    </row>
    <row r="2" spans="1:11" ht="14.4">
      <c r="A2" s="38">
        <f t="array" ref="A2:G7">'Sistema de Ecuaciones'!A3:G8</f>
        <v>2</v>
      </c>
      <c r="B2" s="38">
        <v>-3</v>
      </c>
      <c r="C2" s="38">
        <v>0</v>
      </c>
      <c r="D2" s="38">
        <v>0</v>
      </c>
      <c r="E2" s="38">
        <v>0</v>
      </c>
      <c r="F2" s="38">
        <v>0</v>
      </c>
      <c r="G2" s="38">
        <v>-1.6666666666666667</v>
      </c>
      <c r="J2" s="22" t="s">
        <v>28</v>
      </c>
      <c r="K2" s="23">
        <v>7</v>
      </c>
    </row>
    <row r="3" spans="1:11" ht="14.4">
      <c r="A3" s="38">
        <v>-1</v>
      </c>
      <c r="B3" s="38">
        <v>4</v>
      </c>
      <c r="C3" s="38">
        <v>-1</v>
      </c>
      <c r="D3" s="38">
        <v>0</v>
      </c>
      <c r="E3" s="38">
        <v>-1</v>
      </c>
      <c r="F3" s="38">
        <v>0</v>
      </c>
      <c r="G3" s="38">
        <v>0.66666666666666663</v>
      </c>
      <c r="J3" s="22" t="s">
        <v>29</v>
      </c>
      <c r="K3" s="11">
        <f>0.5*10^(2-K2)</f>
        <v>5.0000000000000004E-6</v>
      </c>
    </row>
    <row r="4" spans="1:11" ht="14.4">
      <c r="A4" s="38">
        <v>0</v>
      </c>
      <c r="B4" s="38">
        <v>-1</v>
      </c>
      <c r="C4" s="38">
        <v>4</v>
      </c>
      <c r="D4" s="38">
        <v>0</v>
      </c>
      <c r="E4" s="38">
        <v>0</v>
      </c>
      <c r="F4" s="38">
        <v>-1</v>
      </c>
      <c r="G4" s="38">
        <v>3</v>
      </c>
    </row>
    <row r="5" spans="1:11" ht="15" customHeight="1">
      <c r="A5" s="38">
        <v>0</v>
      </c>
      <c r="B5" s="38">
        <v>0</v>
      </c>
      <c r="C5" s="38">
        <v>0</v>
      </c>
      <c r="D5" s="38">
        <v>2</v>
      </c>
      <c r="E5" s="38">
        <v>-3</v>
      </c>
      <c r="F5" s="38">
        <v>0</v>
      </c>
      <c r="G5" s="38">
        <v>-1.3333333333333333</v>
      </c>
    </row>
    <row r="6" spans="1:11" ht="15" customHeight="1">
      <c r="A6" s="38">
        <v>0</v>
      </c>
      <c r="B6" s="38">
        <v>-1</v>
      </c>
      <c r="C6" s="38">
        <v>0</v>
      </c>
      <c r="D6" s="38">
        <v>-1</v>
      </c>
      <c r="E6" s="38">
        <v>4</v>
      </c>
      <c r="F6" s="38">
        <v>-1</v>
      </c>
      <c r="G6" s="38">
        <v>-0.33333333333333331</v>
      </c>
    </row>
    <row r="7" spans="1:11" ht="15" customHeight="1">
      <c r="A7" s="38">
        <v>0</v>
      </c>
      <c r="B7" s="38">
        <v>0</v>
      </c>
      <c r="C7" s="38">
        <v>-1</v>
      </c>
      <c r="D7" s="38">
        <v>0</v>
      </c>
      <c r="E7" s="38">
        <v>-1</v>
      </c>
      <c r="F7" s="38">
        <v>4</v>
      </c>
      <c r="G7" s="38">
        <v>1.6666666666666667</v>
      </c>
    </row>
    <row r="9" spans="1:11" ht="15" customHeight="1">
      <c r="A9" s="8" t="s">
        <v>26</v>
      </c>
      <c r="B9" s="8" t="s">
        <v>1</v>
      </c>
      <c r="C9" s="8" t="s">
        <v>2</v>
      </c>
      <c r="D9" s="8" t="s">
        <v>3</v>
      </c>
      <c r="E9" s="8" t="s">
        <v>4</v>
      </c>
      <c r="F9" s="8" t="s">
        <v>5</v>
      </c>
      <c r="G9" s="8" t="s">
        <v>6</v>
      </c>
      <c r="H9" s="8" t="s">
        <v>27</v>
      </c>
    </row>
    <row r="10" spans="1:11" ht="15" customHeight="1">
      <c r="A10" s="17">
        <v>0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17">
        <v>100</v>
      </c>
    </row>
    <row r="11" spans="1:11" ht="15" customHeight="1">
      <c r="A11" s="17">
        <v>1</v>
      </c>
      <c r="B11" s="40">
        <f>($G$2-($B$2*C10+$C$2*D10+$D$2*E10+$E$2*F10+$F$2*G10))/($A$2)</f>
        <v>-0.83333333333333337</v>
      </c>
      <c r="C11" s="40">
        <f>($G$3-($A$3*B10+$C$3*D10+$D$3*E10+$E$3*F10+$F$3*G10))/($B$3)</f>
        <v>0.16666666666666666</v>
      </c>
      <c r="D11" s="40">
        <f>($G$4-($A$4*B10+$B$4*C10+$D$4*E10+$E$4*F10+$F$4*G10))/($C$4)</f>
        <v>0.75</v>
      </c>
      <c r="E11" s="40">
        <f>($G$5-($A$5*B10+$B$5*C10+$C$5*D10+$E$5*F10+$F$5*G10))/($D$5)</f>
        <v>-0.66666666666666663</v>
      </c>
      <c r="F11" s="40">
        <f>($G$6-($A$6*B10+$B$6*C10+$C$6*D10+$D$6*E10+$F$6*G10))/($E$6)</f>
        <v>-8.3333333333333329E-2</v>
      </c>
      <c r="G11" s="40">
        <f>($G$7-($A$7*B10+$B$7*C10+$C$7*D10+$D$7*E10+$E$7*F10))/($F$7)</f>
        <v>0.41666666666666669</v>
      </c>
      <c r="H11" s="17" cm="1">
        <f t="array" ref="H11">(MAX(ABS((B11:G11)-(B10:G10)))/MAX(ABS(B11:G11))*100)</f>
        <v>100</v>
      </c>
    </row>
    <row r="14" spans="1:11" ht="15.75" customHeight="1"/>
    <row r="15" spans="1:11" ht="15.75" customHeight="1"/>
    <row r="16" spans="1:11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conditionalFormatting sqref="J4">
    <cfRule type="notContainsBlanks" dxfId="6" priority="2">
      <formula>LEN(TRIM(J4))&gt;0</formula>
    </cfRule>
  </conditionalFormatting>
  <conditionalFormatting sqref="K3">
    <cfRule type="notContainsBlanks" dxfId="5" priority="4">
      <formula>LEN(TRIM(K3))&gt;0</formula>
    </cfRule>
  </conditionalFormatting>
  <conditionalFormatting sqref="H11">
    <cfRule type="cellIs" dxfId="8" priority="1" operator="lessThan">
      <formula>$K$3</formula>
    </cfRule>
  </conditionalFormatting>
  <pageMargins left="0.7" right="0.7" top="0.75" bottom="0.75" header="0" footer="0"/>
  <pageSetup orientation="landscape"/>
  <ignoredErrors>
    <ignoredError sqref="H1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1000"/>
  <sheetViews>
    <sheetView workbookViewId="0">
      <selection activeCell="H17" sqref="H17"/>
    </sheetView>
  </sheetViews>
  <sheetFormatPr baseColWidth="10" defaultColWidth="14.44140625" defaultRowHeight="15" customHeight="1"/>
  <cols>
    <col min="1" max="1" width="10.6640625" customWidth="1"/>
    <col min="2" max="2" width="12.109375" bestFit="1" customWidth="1"/>
    <col min="3" max="3" width="12.6640625" customWidth="1"/>
    <col min="4" max="4" width="11.44140625" bestFit="1" customWidth="1"/>
    <col min="5" max="5" width="13.44140625" customWidth="1"/>
    <col min="6" max="6" width="14.44140625" customWidth="1"/>
    <col min="7" max="7" width="12.6640625" customWidth="1"/>
    <col min="8" max="8" width="11.6640625" customWidth="1"/>
    <col min="9" max="26" width="10.6640625" customWidth="1"/>
  </cols>
  <sheetData>
    <row r="2" spans="1:10" ht="14.4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I2" s="24" t="s">
        <v>30</v>
      </c>
      <c r="J2" s="17">
        <v>7</v>
      </c>
    </row>
    <row r="3" spans="1:10" ht="14.4">
      <c r="A3" s="5">
        <f>'Sistema de Ecuaciones'!A3</f>
        <v>2</v>
      </c>
      <c r="B3" s="5">
        <f>'Sistema de Ecuaciones'!B3</f>
        <v>-3</v>
      </c>
      <c r="C3" s="5">
        <f>'Sistema de Ecuaciones'!C3</f>
        <v>0</v>
      </c>
      <c r="D3" s="5">
        <f>'Sistema de Ecuaciones'!D3</f>
        <v>0</v>
      </c>
      <c r="E3" s="5">
        <f>'Sistema de Ecuaciones'!E3</f>
        <v>0</v>
      </c>
      <c r="F3" s="5">
        <f>'Sistema de Ecuaciones'!F3</f>
        <v>0</v>
      </c>
      <c r="G3" s="6">
        <f>'Sistema de Ecuaciones'!G3</f>
        <v>-1.6666666666666667</v>
      </c>
      <c r="I3" s="24" t="s">
        <v>29</v>
      </c>
      <c r="J3" s="5">
        <f>0.5*10^(2-J2)</f>
        <v>5.0000000000000004E-6</v>
      </c>
    </row>
    <row r="4" spans="1:10" ht="14.4">
      <c r="A4" s="5">
        <f>'Sistema de Ecuaciones'!A4</f>
        <v>-1</v>
      </c>
      <c r="B4" s="5">
        <f>'Sistema de Ecuaciones'!B4</f>
        <v>4</v>
      </c>
      <c r="C4" s="5">
        <f>'Sistema de Ecuaciones'!C4</f>
        <v>-1</v>
      </c>
      <c r="D4" s="5">
        <f>'Sistema de Ecuaciones'!D4</f>
        <v>0</v>
      </c>
      <c r="E4" s="5">
        <f>'Sistema de Ecuaciones'!E4</f>
        <v>-1</v>
      </c>
      <c r="F4" s="5">
        <f>'Sistema de Ecuaciones'!F4</f>
        <v>0</v>
      </c>
      <c r="G4" s="6">
        <f>'Sistema de Ecuaciones'!G4</f>
        <v>0.66666666666666663</v>
      </c>
    </row>
    <row r="5" spans="1:10" ht="14.4">
      <c r="A5" s="5">
        <f>'Sistema de Ecuaciones'!A5</f>
        <v>0</v>
      </c>
      <c r="B5" s="5">
        <f>'Sistema de Ecuaciones'!B5</f>
        <v>-1</v>
      </c>
      <c r="C5" s="5">
        <f>'Sistema de Ecuaciones'!C5</f>
        <v>4</v>
      </c>
      <c r="D5" s="5">
        <f>'Sistema de Ecuaciones'!D5</f>
        <v>0</v>
      </c>
      <c r="E5" s="5">
        <f>'Sistema de Ecuaciones'!E5</f>
        <v>0</v>
      </c>
      <c r="F5" s="5">
        <f>'Sistema de Ecuaciones'!F5</f>
        <v>-1</v>
      </c>
      <c r="G5" s="6">
        <f>'Sistema de Ecuaciones'!G5</f>
        <v>3</v>
      </c>
    </row>
    <row r="6" spans="1:10" ht="14.4">
      <c r="A6" s="5">
        <f>'Sistema de Ecuaciones'!A6</f>
        <v>0</v>
      </c>
      <c r="B6" s="5">
        <f>'Sistema de Ecuaciones'!B6</f>
        <v>0</v>
      </c>
      <c r="C6" s="5">
        <f>'Sistema de Ecuaciones'!C6</f>
        <v>0</v>
      </c>
      <c r="D6" s="5">
        <f>'Sistema de Ecuaciones'!D6</f>
        <v>2</v>
      </c>
      <c r="E6" s="5">
        <f>'Sistema de Ecuaciones'!E6</f>
        <v>-3</v>
      </c>
      <c r="F6" s="5">
        <f>'Sistema de Ecuaciones'!F6</f>
        <v>0</v>
      </c>
      <c r="G6" s="6">
        <f>'Sistema de Ecuaciones'!G6</f>
        <v>-1.3333333333333333</v>
      </c>
    </row>
    <row r="7" spans="1:10" ht="14.4">
      <c r="A7" s="5">
        <f>'Sistema de Ecuaciones'!A7</f>
        <v>0</v>
      </c>
      <c r="B7" s="5">
        <f>'Sistema de Ecuaciones'!B7</f>
        <v>-1</v>
      </c>
      <c r="C7" s="5">
        <f>'Sistema de Ecuaciones'!C7</f>
        <v>0</v>
      </c>
      <c r="D7" s="5">
        <f>'Sistema de Ecuaciones'!D7</f>
        <v>-1</v>
      </c>
      <c r="E7" s="5">
        <f>'Sistema de Ecuaciones'!E7</f>
        <v>4</v>
      </c>
      <c r="F7" s="5">
        <f>'Sistema de Ecuaciones'!F7</f>
        <v>-1</v>
      </c>
      <c r="G7" s="6">
        <f>'Sistema de Ecuaciones'!G7</f>
        <v>-0.33333333333333331</v>
      </c>
    </row>
    <row r="8" spans="1:10" ht="14.4">
      <c r="A8" s="5">
        <f>'Sistema de Ecuaciones'!A8</f>
        <v>0</v>
      </c>
      <c r="B8" s="5">
        <f>'Sistema de Ecuaciones'!B8</f>
        <v>0</v>
      </c>
      <c r="C8" s="5">
        <f>'Sistema de Ecuaciones'!C8</f>
        <v>-1</v>
      </c>
      <c r="D8" s="5">
        <f>'Sistema de Ecuaciones'!D8</f>
        <v>0</v>
      </c>
      <c r="E8" s="5">
        <f>'Sistema de Ecuaciones'!E8</f>
        <v>-1</v>
      </c>
      <c r="F8" s="5">
        <f>'Sistema de Ecuaciones'!F8</f>
        <v>4</v>
      </c>
      <c r="G8" s="6">
        <f>'Sistema de Ecuaciones'!G8</f>
        <v>1.6666666666666667</v>
      </c>
    </row>
    <row r="10" spans="1:10" ht="14.4">
      <c r="A10" s="24" t="s">
        <v>26</v>
      </c>
      <c r="B10" s="24" t="s">
        <v>1</v>
      </c>
      <c r="C10" s="24" t="s">
        <v>2</v>
      </c>
      <c r="D10" s="24" t="s">
        <v>3</v>
      </c>
      <c r="E10" s="24" t="s">
        <v>4</v>
      </c>
      <c r="F10" s="24" t="s">
        <v>5</v>
      </c>
      <c r="G10" s="24" t="s">
        <v>6</v>
      </c>
      <c r="H10" s="24" t="s">
        <v>27</v>
      </c>
    </row>
    <row r="11" spans="1:10" ht="14.4">
      <c r="A11" s="17">
        <v>0</v>
      </c>
      <c r="B11" s="35">
        <f>G3/A3</f>
        <v>-0.83333333333333337</v>
      </c>
      <c r="C11" s="35">
        <f>G4/B4</f>
        <v>0.16666666666666666</v>
      </c>
      <c r="D11" s="35">
        <f>G5/C5</f>
        <v>0.75</v>
      </c>
      <c r="E11" s="35">
        <f>G6/D6</f>
        <v>-0.66666666666666663</v>
      </c>
      <c r="F11" s="35">
        <f>G7/E7</f>
        <v>-8.3333333333333329E-2</v>
      </c>
      <c r="G11" s="35">
        <f>G8/F8</f>
        <v>0.41666666666666669</v>
      </c>
      <c r="H11" s="17">
        <v>100</v>
      </c>
    </row>
    <row r="12" spans="1:10" ht="14.4">
      <c r="A12" s="17">
        <v>1</v>
      </c>
      <c r="B12" s="36">
        <f>($G$3-($B$3*C11+$C$3*D11+$D$3*E11+$E$3*F11+$F$3*G11))/($A$3)</f>
        <v>-0.58333333333333337</v>
      </c>
      <c r="C12" s="36">
        <f>($G$4-($A$4*B12+$C$4*D11+$D$4*E11+$E$4*F11+$F$4*G11))/($B$4)</f>
        <v>0.18749999999999997</v>
      </c>
      <c r="D12" s="36">
        <f>($G$5-($A$5*B12+$B$5*C12+$D$5*E11+$E$5*F11+$F$5*G11))/($C$5)</f>
        <v>0.90104166666666663</v>
      </c>
      <c r="E12" s="36">
        <f>($G$6-($A$6*B12+$B$6*C12+$C$6*D12+$E$6*F11+$F$6*G11))/($D$6)</f>
        <v>-0.79166666666666663</v>
      </c>
      <c r="F12" s="36">
        <f>($G$7-($A$7*B12+$B$7*C12+$C$7*D12+$D$7*E12+$F$7*G11))/($E$7)</f>
        <v>-0.13020833333333331</v>
      </c>
      <c r="G12" s="36">
        <f>($G$8-($A$8*B12+$B$8*C12+$C$8*D12+$D$8*E12+$E$8*F12))/($F$8)</f>
        <v>0.609375</v>
      </c>
      <c r="H12" s="5" cm="1">
        <f t="array" ref="H12">(MAX(ABS(B12:G12-B11:G11))/MAX(ABS(B12:G12))*100)</f>
        <v>27.745664739884397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12">
    <cfRule type="cellIs" dxfId="3" priority="1" operator="lessThan">
      <formula>$J$3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Sistema de Ecuaciones</vt:lpstr>
      <vt:lpstr>Eliminación de Gauss</vt:lpstr>
      <vt:lpstr>Eliminación de Gauss-Jordan</vt:lpstr>
      <vt:lpstr>Inversión de Matrices</vt:lpstr>
      <vt:lpstr>Regla de Cramer</vt:lpstr>
      <vt:lpstr>Método Montante</vt:lpstr>
      <vt:lpstr>Gauss-Jacobi</vt:lpstr>
      <vt:lpstr>Gauss-Seidel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JONÁS SAMUEL SALAZAR TORRES</cp:lastModifiedBy>
  <dcterms:modified xsi:type="dcterms:W3CDTF">2024-12-09T01:46:03Z</dcterms:modified>
</cp:coreProperties>
</file>